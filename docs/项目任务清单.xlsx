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/>
  </bookViews>
  <sheets>
    <sheet name="任务清单" sheetId="1" r:id="rId1"/>
    <sheet name="总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<sst xmlns="http://schemas.openxmlformats.org/spreadsheetml/2006/main" count="705" uniqueCount="212">
  <si>
    <t>模块</t>
  </si>
  <si>
    <t>子模块</t>
  </si>
  <si>
    <t>任务名称</t>
  </si>
  <si>
    <t>优先级</t>
  </si>
  <si>
    <t>负责人</t>
  </si>
  <si>
    <t>计划完成时间</t>
  </si>
  <si>
    <t>状态</t>
  </si>
  <si>
    <t>实际完成时间</t>
  </si>
  <si>
    <t>备注</t>
  </si>
  <si>
    <t>ESP32设备端</t>
  </si>
  <si>
    <t>音频模块</t>
  </si>
  <si>
    <t>自定义唤醒词</t>
  </si>
  <si>
    <t>高</t>
  </si>
  <si>
    <t>张明旭</t>
  </si>
  <si>
    <t>2026/4/7</t>
  </si>
  <si>
    <t>已完成</t>
  </si>
  <si>
    <t>2026/3/31</t>
  </si>
  <si>
    <t>原表已有</t>
  </si>
  <si>
    <t>音频驱动</t>
  </si>
  <si>
    <t>2026/4/3</t>
  </si>
  <si>
    <t>咪头AEC、VAD功能</t>
  </si>
  <si>
    <t>2026/4/13</t>
  </si>
  <si>
    <t>mqtt消费及推送</t>
  </si>
  <si>
    <t>中</t>
  </si>
  <si>
    <t>调用云端语音对话WebSocket</t>
  </si>
  <si>
    <t>环形缓冲区播放opus音频流</t>
  </si>
  <si>
    <t>防止网络波动断音破片增加一个暂存缓冲</t>
  </si>
  <si>
    <t>OPUS编码参数定型（24kbps CBR、禁用VBR）</t>
  </si>
  <si>
    <t/>
  </si>
  <si>
    <t>2026/5/20</t>
  </si>
  <si>
    <t>补录·DEC-001</t>
  </si>
  <si>
    <t>音频处理器静音接口（防TTS打断重播）</t>
  </si>
  <si>
    <t>2026/5/25</t>
  </si>
  <si>
    <t>补录</t>
  </si>
  <si>
    <t>扬声器音量接口+NVS持久化+MQTT远程调音量</t>
  </si>
  <si>
    <t>2026/6/1</t>
  </si>
  <si>
    <t>长句TTS丢帧/溢出优化（解码输入缓冲扩到32KB+限频告警）</t>
  </si>
  <si>
    <t>2026/7/2</t>
  </si>
  <si>
    <t>TTS期唤醒打断阈值调优（0.18→0.3 降AEC残留误触）</t>
  </si>
  <si>
    <t>ES8311上电爆音—软件软启动方案</t>
  </si>
  <si>
    <t>2026/6/15</t>
  </si>
  <si>
    <t>补录·实测无效（VMID模拟瞬态）</t>
  </si>
  <si>
    <t>ES8311上电爆音—NMOS延时开关硬件方案</t>
  </si>
  <si>
    <t>未开始</t>
  </si>
  <si>
    <t>需改板：2N7002压CTRL，C_g 10uF+R_g 470k≈3.4s</t>
  </si>
  <si>
    <t>离线音频播放（MP3 + P3/OPUS 双格式）</t>
  </si>
  <si>
    <t>进行中</t>
  </si>
  <si>
    <t>代码已合入2026/7/16，出声/泄漏/仲裁待烧录验证</t>
  </si>
  <si>
    <t>多轮对话尾音误触EOS / 超时截断修复</t>
  </si>
  <si>
    <t>2026/7/3</t>
  </si>
  <si>
    <t>补录·BUG-007/013/014/021</t>
  </si>
  <si>
    <t>初始化</t>
  </si>
  <si>
    <t>蓝牙连接</t>
  </si>
  <si>
    <t>2026/3/16</t>
  </si>
  <si>
    <t>接收wifi凭证</t>
  </si>
  <si>
    <t>2026/3/17</t>
  </si>
  <si>
    <t>设备联网</t>
  </si>
  <si>
    <t>获取token</t>
  </si>
  <si>
    <t>2026/4/10</t>
  </si>
  <si>
    <t>Token双重刷新机制（2h过期，主动+被动）</t>
  </si>
  <si>
    <t>补录·DEC-003</t>
  </si>
  <si>
    <t>配网协议迁移 Unified Provisioning → BluFi（NimBLE）</t>
  </si>
  <si>
    <t>2026/6/22</t>
  </si>
  <si>
    <t>动态蓝牙设备名（MAC派生 EchoPals-XXXXXX）</t>
  </si>
  <si>
    <t>2026/6/23</t>
  </si>
  <si>
    <t>裸板模式编译裁剪（CONFIG_BSP_HAS_DISPLAY）</t>
  </si>
  <si>
    <t>低</t>
  </si>
  <si>
    <t>BluFi CustomData下发token</t>
  </si>
  <si>
    <t>配网联网+下发已通，卡在deviceToken缺失待后端</t>
  </si>
  <si>
    <t>配网二维码显示</t>
  </si>
  <si>
    <t>BUG-029双根因已修，待烧录验证</t>
  </si>
  <si>
    <t>按键长按重置WiFi</t>
  </si>
  <si>
    <t>BUG-030 LVGL未init断言崩，已定位待改</t>
  </si>
  <si>
    <t>BluFi分支BLE初始化崩溃排查</t>
  </si>
  <si>
    <t>BUG-026 已加esp_intr_dump诊断待烧录</t>
  </si>
  <si>
    <t>前端配网对接说明文档</t>
  </si>
  <si>
    <t>备份升级</t>
  </si>
  <si>
    <t>OTA</t>
  </si>
  <si>
    <t>2026/6/</t>
  </si>
  <si>
    <t>OTA进度回调+SHA256校验+重启后补发</t>
  </si>
  <si>
    <t>2026/6/17</t>
  </si>
  <si>
    <t>OTA推送+云端连通性探测工具</t>
  </si>
  <si>
    <t>2026/7/7</t>
  </si>
  <si>
    <t>OTA前停唤醒词/触摸扫描（防并发崩）</t>
  </si>
  <si>
    <t>2026/7/20</t>
  </si>
  <si>
    <t>app分区容量告急（仅剩2%）</t>
  </si>
  <si>
    <t>需重划分区表或裁剪固件</t>
  </si>
  <si>
    <t>屏幕模块</t>
  </si>
  <si>
    <t>屏幕驱动</t>
  </si>
  <si>
    <t>2026/4/12</t>
  </si>
  <si>
    <t>显示天气</t>
  </si>
  <si>
    <t>2026/5/8</t>
  </si>
  <si>
    <t>2026/5/6</t>
  </si>
  <si>
    <t>显示日历</t>
  </si>
  <si>
    <t>2026/5/7</t>
  </si>
  <si>
    <t>显示时间</t>
  </si>
  <si>
    <t>2026/4/30</t>
  </si>
  <si>
    <t>2026/5/2</t>
  </si>
  <si>
    <t>闹钟提醒</t>
  </si>
  <si>
    <t>倒计时</t>
  </si>
  <si>
    <t>2026/5/3</t>
  </si>
  <si>
    <t>UI组件</t>
  </si>
  <si>
    <t>2026/5/15</t>
  </si>
  <si>
    <t>LCD背光GPIO开关升级为LEDC PWM调光</t>
  </si>
  <si>
    <t>2026/6/2</t>
  </si>
  <si>
    <t>状态栏（WiFi信号+电池电量）</t>
  </si>
  <si>
    <t>中文字体子集（font_cn_16 / font_cn_32）</t>
  </si>
  <si>
    <t>补录·含字符提取工具</t>
  </si>
  <si>
    <t>功能菜单/主页层级导航</t>
  </si>
  <si>
    <t>GIF情绪动画播放+跨线程切图接口</t>
  </si>
  <si>
    <t>补录·ui_request_emotion_gif</t>
  </si>
  <si>
    <t>二维码控件启用（LV_USE_QRCODE）</t>
  </si>
  <si>
    <t>2026/6/24</t>
  </si>
  <si>
    <t>天气页扩展（体感/风/湿度/降水+6-label新版式）</t>
  </si>
  <si>
    <t>未编译未烧录</t>
  </si>
  <si>
    <t>开机logo解码器重入卡死修复</t>
  </si>
  <si>
    <t>BUG-032 已改pending+timer，未提交未烧录</t>
  </si>
  <si>
    <t>游戏模块</t>
  </si>
  <si>
    <t>砸地鼠</t>
  </si>
  <si>
    <t>2026/5/22</t>
  </si>
  <si>
    <t>跳一跳</t>
  </si>
  <si>
    <t>赛车（跑酷）</t>
  </si>
  <si>
    <t>2026/6/15随游戏模块重构引入</t>
  </si>
  <si>
    <t>游戏图片资源导出（c/jt/ds/p系列）</t>
  </si>
  <si>
    <t>跳一跳蓄力/落台坐标统一</t>
  </si>
  <si>
    <t>补录·BUG-022</t>
  </si>
  <si>
    <t>打地鼠命中判定修复（只允许HOLE_UP命中）</t>
  </si>
  <si>
    <t>game_whack.c:581 已改待烧录</t>
  </si>
  <si>
    <t>跳一跳边缘检测（覆盖率&lt;60%倒下）</t>
  </si>
  <si>
    <t>方案已设计，插入点game_jump.c:1070</t>
  </si>
  <si>
    <t>跳一跳入场动画（台子下落+触底弹起）</t>
  </si>
  <si>
    <t>方案已设计，代码未改</t>
  </si>
  <si>
    <t>赛车棋子缩放/车道位置调参</t>
  </si>
  <si>
    <t>交互模块</t>
  </si>
  <si>
    <t>触摸驱动（TP223外置+内置电容双方案）</t>
  </si>
  <si>
    <t>舵机驱动（LEDC PWM）</t>
  </si>
  <si>
    <t>2026/4/14</t>
  </si>
  <si>
    <t>舵机管理器（队列+worker任务）</t>
  </si>
  <si>
    <t>2026/4/15</t>
  </si>
  <si>
    <t>舵机独立组件化（components/servo）</t>
  </si>
  <si>
    <t>2026/7/15</t>
  </si>
  <si>
    <t>PCA9536 IO扩展驱动</t>
  </si>
  <si>
    <t>2026/5/14</t>
  </si>
  <si>
    <t>GPIO14复用冲突修复（I2C NACK+舵机误抖）</t>
  </si>
  <si>
    <t>补录·BUG-015</t>
  </si>
  <si>
    <t>震动马达PWM驱动</t>
  </si>
  <si>
    <t>补录·BUG-020 低有效需duty=MAX停止</t>
  </si>
  <si>
    <t>情绪矩阵（6触摸位置×6情绪→GIF+舵机+震动+音频）</t>
  </si>
  <si>
    <t>10种震动序列已落地，待烧录验证</t>
  </si>
  <si>
    <t>舵机上电归中抖动</t>
  </si>
  <si>
    <t>单脉冲实验证明软件无解，需换总线舵机</t>
  </si>
  <si>
    <t>电源与低功耗</t>
  </si>
  <si>
    <t>电池电量采集+NVS持久化+防回弹</t>
  </si>
  <si>
    <t>一级待机（息屏降频）</t>
  </si>
  <si>
    <t>2026/7/9</t>
  </si>
  <si>
    <t>二级待机（关屏+停舵机）</t>
  </si>
  <si>
    <t>三级关机（GPIO18/OPT下降沿断电）</t>
  </si>
  <si>
    <t>待机期插拔USB检测唤醒</t>
  </si>
  <si>
    <t>一级低功耗随机情绪头部动作+GIF轮播</t>
  </si>
  <si>
    <t>计划2026-07-03已设计未编码</t>
  </si>
  <si>
    <t>存储与资源</t>
  </si>
  <si>
    <t>外挂Flash驱动+零延迟启动</t>
  </si>
  <si>
    <t>外部Flash烧录/镜像提取工具</t>
  </si>
  <si>
    <t>2026/5/12</t>
  </si>
  <si>
    <t>图片转换→打包→烧录一键脚本（0~3.py）</t>
  </si>
  <si>
    <t>2026/6/12</t>
  </si>
  <si>
    <t>已烧录板重烧强制窗口（BURN_FORCE_WINDOW_MS）</t>
  </si>
  <si>
    <t>2026/6/25</t>
  </si>
  <si>
    <t>补录·BUG-024</t>
  </si>
  <si>
    <t>语音资源目录规划（/S/voice/）</t>
  </si>
  <si>
    <t>2026/7/16</t>
  </si>
  <si>
    <t>外挂Flash容量自适应（读JEDEC ID）</t>
  </si>
  <si>
    <t>现写死32MB，16MB板须手工传参</t>
  </si>
  <si>
    <t>稳定性与内存</t>
  </si>
  <si>
    <t>内部SRAM峰值优化（22KB→170KB）</t>
  </si>
  <si>
    <t>补录·7任务栈+3静态buffer迁SPIRAM</t>
  </si>
  <si>
    <t>LVGL 64KB静态池移除</t>
  </si>
  <si>
    <t>2026/4/26</t>
  </si>
  <si>
    <t>补录·BUG-009</t>
  </si>
  <si>
    <t>音频任务SPIRAM栈泄漏防护</t>
  </si>
  <si>
    <t>补录·BUG-011</t>
  </si>
  <si>
    <t>WebSocket重连内存泄漏修复</t>
  </si>
  <si>
    <t>MQTT重连任务内存泄漏修复</t>
  </si>
  <si>
    <t>补录·BUG-023</t>
  </si>
  <si>
    <t>云端解绑崩溃修复（栈3072→8192）</t>
  </si>
  <si>
    <t>2026/7/21</t>
  </si>
  <si>
    <t>补录·BUG-028</t>
  </si>
  <si>
    <t>任务栈监控+内存跟踪宏</t>
  </si>
  <si>
    <t>2026/7/10</t>
  </si>
  <si>
    <t>UDP日志通道（udp_logger）</t>
  </si>
  <si>
    <t>CPU0优先级倒挂致WDT报警</t>
  </si>
  <si>
    <t>BUG-027 修改已写未提交未烧录</t>
  </si>
  <si>
    <t>随机堆损坏排查（堆毒化检测）</t>
  </si>
  <si>
    <t>已排除与WDT关联，仍在观察</t>
  </si>
  <si>
    <t>离线能力</t>
  </si>
  <si>
    <t>断网离线模式（不重启+停重连+时间NVS兜底）</t>
  </si>
  <si>
    <t>计划2026-07-21已设计未编码</t>
  </si>
  <si>
    <t>云端对接</t>
  </si>
  <si>
    <t>协议</t>
  </si>
  <si>
    <t>MQTT命令主题订阅（音量/解绑/OTA推送）</t>
  </si>
  <si>
    <t>2026/5/18</t>
  </si>
  <si>
    <t>握手协议 Hello → start</t>
  </si>
  <si>
    <t>和风天气now接口对接</t>
  </si>
  <si>
    <t>补录·12字段现用7个</t>
  </si>
  <si>
    <t>云端过度切句致多轮LLM+RATE_LIMITED</t>
  </si>
  <si>
    <t>纯排查未改码，需后端配合</t>
  </si>
  <si>
    <t>Echo2 项目任务总览</t>
  </si>
  <si>
    <t>生成日期 2026-07-23　数据来源：git 提交记录 + memory 日志 + 现有代码</t>
  </si>
  <si>
    <t>条数</t>
  </si>
  <si>
    <t>占比</t>
  </si>
  <si>
    <t>合计</t>
  </si>
  <si>
    <t>小计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</si>
</sst>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9">
    <font>
      <sz val="11"/>
      <color theme="1"/>
      <name val="宋体"/>
      <charset val="134"/>
      <scheme val="minor"/>
    </font>
    <font>
      <b/>
      <sz val="14"/>
      <name val="微软雅黑"/>
      <charset val="134"/>
    </font>
    <font>
      <sz val="9"/>
      <color rgb="FF808080"/>
      <name val="微软雅黑"/>
      <charset val="134"/>
    </font>
    <font>
      <b/>
      <sz val="11"/>
      <color rgb="FFFFFFFF"/>
      <name val="微软雅黑"/>
      <charset val="134"/>
    </font>
    <font>
      <b/>
      <sz val="10"/>
      <color rgb="FF006100"/>
      <name val="微软雅黑"/>
      <charset val="134"/>
    </font>
    <font>
      <b/>
      <sz val="10"/>
      <color rgb="FF9C6500"/>
      <name val="微软雅黑"/>
      <charset val="134"/>
    </font>
    <font>
      <b/>
      <sz val="10"/>
      <color rgb="FF9C0006"/>
      <name val="微软雅黑"/>
      <charset val="134"/>
    </font>
    <font>
      <b/>
      <sz val="10"/>
      <name val="微软雅黑"/>
      <charset val="134"/>
    </font>
    <font>
      <sz val="1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176" fontId="0" fillId="0" borderId="0" xfId="0" applyNumberFormat="1"/>
    <xf numFmtId="0" fontId="5" fillId="4" borderId="0" xfId="0" applyFont="1" applyFill="1"/>
    <xf numFmtId="0" fontId="6" fillId="5" borderId="0" xfId="0" applyFont="1" applyFill="1"/>
    <xf numFmtId="0" fontId="7" fillId="0" borderId="0" xfId="0" applyFont="1"/>
    <xf numFmtId="0" fontId="8" fillId="0" borderId="0" xfId="0" applyFont="1"/>
    <xf numFmtId="0" fontId="3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b val="1"/>
        <color rgb="FFC00000"/>
      </font>
    </dxf>
    <dxf>
      <font>
        <b val="1"/>
        <color rgb="FF006100"/>
      </font>
      <fill>
        <patternFill patternType="solid">
          <bgColor rgb="FFC6EFCE"/>
        </patternFill>
      </fill>
    </dxf>
    <dxf>
      <font>
        <b val="1"/>
        <color rgb="FF9C6500"/>
      </font>
      <fill>
        <patternFill patternType="solid">
          <bgColor rgb="FFFFEB9C"/>
        </patternFill>
      </fill>
    </dxf>
    <dxf>
      <font>
        <b val="1"/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5"/>
  <sheetViews>
    <sheetView tabSelected="1" workbookViewId="0">
      <pane xSplit="2" ySplit="1" topLeftCell="C8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13" customWidth="1"/>
    <col min="2" max="2" width="14" customWidth="1"/>
    <col min="3" max="3" width="44" customWidth="1"/>
    <col min="4" max="4" width="8" customWidth="1"/>
    <col min="5" max="5" width="9" customWidth="1"/>
    <col min="6" max="6" width="14" customWidth="1"/>
    <col min="7" max="7" width="10" customWidth="1"/>
    <col min="8" max="8" width="14" customWidth="1"/>
    <col min="9" max="9" width="46" customWidth="1"/>
  </cols>
  <sheetData>
    <row r="1" ht="28" customHeight="1" spans="1:9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</row>
    <row r="2" ht="22" customHeight="1" spans="1:9">
      <c r="A2" s="11" t="s">
        <v>9</v>
      </c>
      <c r="B2" s="11" t="s">
        <v>10</v>
      </c>
      <c r="C2" s="12" t="s">
        <v>11</v>
      </c>
      <c r="D2" s="13" t="s">
        <v>12</v>
      </c>
      <c r="E2" s="13" t="s">
        <v>13</v>
      </c>
      <c r="F2" s="14" t="s">
        <v>14</v>
      </c>
      <c r="G2" s="13" t="s">
        <v>15</v>
      </c>
      <c r="H2" s="14" t="s">
        <v>16</v>
      </c>
      <c r="I2" s="12" t="s">
        <v>17</v>
      </c>
    </row>
    <row r="3" ht="22" customHeight="1" spans="1:9">
      <c r="A3" s="15"/>
      <c r="B3" s="15"/>
      <c r="C3" s="12" t="s">
        <v>18</v>
      </c>
      <c r="D3" s="13" t="s">
        <v>12</v>
      </c>
      <c r="E3" s="13" t="s">
        <v>13</v>
      </c>
      <c r="F3" s="14" t="s">
        <v>14</v>
      </c>
      <c r="G3" s="13" t="s">
        <v>15</v>
      </c>
      <c r="H3" s="14" t="s">
        <v>19</v>
      </c>
      <c r="I3" s="12" t="s">
        <v>17</v>
      </c>
    </row>
    <row r="4" ht="22" customHeight="1" spans="1:9">
      <c r="A4" s="15"/>
      <c r="B4" s="15"/>
      <c r="C4" s="12" t="s">
        <v>20</v>
      </c>
      <c r="D4" s="13" t="s">
        <v>12</v>
      </c>
      <c r="E4" s="13" t="s">
        <v>13</v>
      </c>
      <c r="F4" s="14" t="s">
        <v>21</v>
      </c>
      <c r="G4" s="13" t="s">
        <v>15</v>
      </c>
      <c r="H4" s="14" t="s">
        <v>21</v>
      </c>
      <c r="I4" s="12" t="s">
        <v>17</v>
      </c>
    </row>
    <row r="5" ht="22" customHeight="1" spans="1:9">
      <c r="A5" s="15"/>
      <c r="B5" s="15"/>
      <c r="C5" s="12" t="s">
        <v>22</v>
      </c>
      <c r="D5" s="13" t="s">
        <v>23</v>
      </c>
      <c r="E5" s="13" t="s">
        <v>13</v>
      </c>
      <c r="F5" s="14" t="s">
        <v>21</v>
      </c>
      <c r="G5" s="13" t="s">
        <v>15</v>
      </c>
      <c r="H5" s="14" t="s">
        <v>21</v>
      </c>
      <c r="I5" s="12" t="s">
        <v>17</v>
      </c>
    </row>
    <row r="6" ht="22" customHeight="1" spans="1:9">
      <c r="A6" s="15"/>
      <c r="B6" s="15"/>
      <c r="C6" s="12" t="s">
        <v>24</v>
      </c>
      <c r="D6" s="13" t="s">
        <v>12</v>
      </c>
      <c r="E6" s="13" t="s">
        <v>13</v>
      </c>
      <c r="F6" s="14" t="s">
        <v>21</v>
      </c>
      <c r="G6" s="13" t="s">
        <v>15</v>
      </c>
      <c r="H6" s="14" t="s">
        <v>21</v>
      </c>
      <c r="I6" s="12" t="s">
        <v>17</v>
      </c>
    </row>
    <row r="7" ht="22" customHeight="1" spans="1:9">
      <c r="A7" s="15"/>
      <c r="B7" s="15"/>
      <c r="C7" s="12" t="s">
        <v>25</v>
      </c>
      <c r="D7" s="13" t="s">
        <v>12</v>
      </c>
      <c r="E7" s="13" t="s">
        <v>13</v>
      </c>
      <c r="F7" s="14" t="s">
        <v>21</v>
      </c>
      <c r="G7" s="13" t="s">
        <v>15</v>
      </c>
      <c r="H7" s="14" t="s">
        <v>21</v>
      </c>
      <c r="I7" s="12" t="s">
        <v>17</v>
      </c>
    </row>
    <row r="8" ht="22" customHeight="1" spans="1:9">
      <c r="A8" s="15"/>
      <c r="B8" s="15"/>
      <c r="C8" s="12" t="s">
        <v>26</v>
      </c>
      <c r="D8" s="13" t="s">
        <v>12</v>
      </c>
      <c r="E8" s="13" t="s">
        <v>13</v>
      </c>
      <c r="F8" s="14" t="s">
        <v>21</v>
      </c>
      <c r="G8" s="13" t="s">
        <v>15</v>
      </c>
      <c r="H8" s="14" t="s">
        <v>21</v>
      </c>
      <c r="I8" s="12" t="s">
        <v>17</v>
      </c>
    </row>
    <row r="9" ht="22" customHeight="1" spans="1:9">
      <c r="A9" s="15"/>
      <c r="B9" s="15"/>
      <c r="C9" s="12" t="s">
        <v>27</v>
      </c>
      <c r="D9" s="13" t="s">
        <v>12</v>
      </c>
      <c r="E9" s="13" t="s">
        <v>13</v>
      </c>
      <c r="F9" s="14" t="s">
        <v>28</v>
      </c>
      <c r="G9" s="13" t="s">
        <v>15</v>
      </c>
      <c r="H9" s="14" t="s">
        <v>29</v>
      </c>
      <c r="I9" s="12" t="s">
        <v>30</v>
      </c>
    </row>
    <row r="10" ht="22" customHeight="1" spans="1:9">
      <c r="A10" s="15"/>
      <c r="B10" s="15"/>
      <c r="C10" s="12" t="s">
        <v>31</v>
      </c>
      <c r="D10" s="13" t="s">
        <v>23</v>
      </c>
      <c r="E10" s="13" t="s">
        <v>13</v>
      </c>
      <c r="F10" s="14" t="s">
        <v>28</v>
      </c>
      <c r="G10" s="13" t="s">
        <v>15</v>
      </c>
      <c r="H10" s="14" t="s">
        <v>32</v>
      </c>
      <c r="I10" s="12" t="s">
        <v>33</v>
      </c>
    </row>
    <row r="11" ht="22" customHeight="1" spans="1:9">
      <c r="A11" s="15"/>
      <c r="B11" s="15"/>
      <c r="C11" s="12" t="s">
        <v>34</v>
      </c>
      <c r="D11" s="13" t="s">
        <v>23</v>
      </c>
      <c r="E11" s="13" t="s">
        <v>13</v>
      </c>
      <c r="F11" s="14" t="s">
        <v>28</v>
      </c>
      <c r="G11" s="13" t="s">
        <v>15</v>
      </c>
      <c r="H11" s="14" t="s">
        <v>35</v>
      </c>
      <c r="I11" s="12" t="s">
        <v>33</v>
      </c>
    </row>
    <row r="12" ht="22" customHeight="1" spans="1:9">
      <c r="A12" s="15"/>
      <c r="B12" s="15"/>
      <c r="C12" s="12" t="s">
        <v>36</v>
      </c>
      <c r="D12" s="13" t="s">
        <v>12</v>
      </c>
      <c r="E12" s="13" t="s">
        <v>13</v>
      </c>
      <c r="F12" s="14" t="s">
        <v>28</v>
      </c>
      <c r="G12" s="13" t="s">
        <v>15</v>
      </c>
      <c r="H12" s="14" t="s">
        <v>37</v>
      </c>
      <c r="I12" s="12" t="s">
        <v>33</v>
      </c>
    </row>
    <row r="13" ht="22" customHeight="1" spans="1:9">
      <c r="A13" s="15"/>
      <c r="B13" s="15"/>
      <c r="C13" s="12" t="s">
        <v>38</v>
      </c>
      <c r="D13" s="13" t="s">
        <v>23</v>
      </c>
      <c r="E13" s="13" t="s">
        <v>13</v>
      </c>
      <c r="F13" s="14" t="s">
        <v>28</v>
      </c>
      <c r="G13" s="13" t="s">
        <v>15</v>
      </c>
      <c r="H13" s="14" t="s">
        <v>37</v>
      </c>
      <c r="I13" s="12" t="s">
        <v>33</v>
      </c>
    </row>
    <row r="14" ht="22" customHeight="1" spans="1:9">
      <c r="A14" s="15"/>
      <c r="B14" s="15"/>
      <c r="C14" s="12" t="s">
        <v>39</v>
      </c>
      <c r="D14" s="13" t="s">
        <v>23</v>
      </c>
      <c r="E14" s="13" t="s">
        <v>13</v>
      </c>
      <c r="F14" s="14" t="s">
        <v>28</v>
      </c>
      <c r="G14" s="13" t="s">
        <v>15</v>
      </c>
      <c r="H14" s="14" t="s">
        <v>40</v>
      </c>
      <c r="I14" s="12" t="s">
        <v>41</v>
      </c>
    </row>
    <row r="15" ht="22" customHeight="1" spans="1:9">
      <c r="A15" s="15"/>
      <c r="B15" s="15"/>
      <c r="C15" s="12" t="s">
        <v>42</v>
      </c>
      <c r="D15" s="13" t="s">
        <v>23</v>
      </c>
      <c r="E15" s="13" t="s">
        <v>13</v>
      </c>
      <c r="F15" s="14" t="s">
        <v>28</v>
      </c>
      <c r="G15" s="13" t="s">
        <v>43</v>
      </c>
      <c r="H15" s="14" t="s">
        <v>28</v>
      </c>
      <c r="I15" s="12" t="s">
        <v>44</v>
      </c>
    </row>
    <row r="16" ht="22" customHeight="1" spans="1:9">
      <c r="A16" s="15"/>
      <c r="B16" s="15"/>
      <c r="C16" s="12" t="s">
        <v>45</v>
      </c>
      <c r="D16" s="13" t="s">
        <v>12</v>
      </c>
      <c r="E16" s="13" t="s">
        <v>13</v>
      </c>
      <c r="F16" s="14" t="s">
        <v>28</v>
      </c>
      <c r="G16" s="13" t="s">
        <v>46</v>
      </c>
      <c r="H16" s="14" t="s">
        <v>28</v>
      </c>
      <c r="I16" s="12" t="s">
        <v>47</v>
      </c>
    </row>
    <row r="17" ht="22" customHeight="1" spans="1:9">
      <c r="A17" s="15"/>
      <c r="B17" s="16"/>
      <c r="C17" s="12" t="s">
        <v>48</v>
      </c>
      <c r="D17" s="13" t="s">
        <v>12</v>
      </c>
      <c r="E17" s="13" t="s">
        <v>13</v>
      </c>
      <c r="F17" s="14" t="s">
        <v>28</v>
      </c>
      <c r="G17" s="13" t="s">
        <v>15</v>
      </c>
      <c r="H17" s="14" t="s">
        <v>49</v>
      </c>
      <c r="I17" s="12" t="s">
        <v>50</v>
      </c>
    </row>
    <row r="18" ht="22" customHeight="1" spans="1:9">
      <c r="A18" s="15"/>
      <c r="B18" s="11" t="s">
        <v>51</v>
      </c>
      <c r="C18" s="12" t="s">
        <v>52</v>
      </c>
      <c r="D18" s="13" t="s">
        <v>12</v>
      </c>
      <c r="E18" s="13" t="s">
        <v>13</v>
      </c>
      <c r="F18" s="14" t="s">
        <v>53</v>
      </c>
      <c r="G18" s="13" t="s">
        <v>15</v>
      </c>
      <c r="H18" s="14" t="s">
        <v>53</v>
      </c>
      <c r="I18" s="12" t="s">
        <v>17</v>
      </c>
    </row>
    <row r="19" ht="22" customHeight="1" spans="1:9">
      <c r="A19" s="15"/>
      <c r="B19" s="15"/>
      <c r="C19" s="12" t="s">
        <v>54</v>
      </c>
      <c r="D19" s="13" t="s">
        <v>12</v>
      </c>
      <c r="E19" s="13" t="s">
        <v>13</v>
      </c>
      <c r="F19" s="14" t="s">
        <v>55</v>
      </c>
      <c r="G19" s="13" t="s">
        <v>15</v>
      </c>
      <c r="H19" s="14" t="s">
        <v>55</v>
      </c>
      <c r="I19" s="12" t="s">
        <v>17</v>
      </c>
    </row>
    <row r="20" ht="22" customHeight="1" spans="1:9">
      <c r="A20" s="15"/>
      <c r="B20" s="15"/>
      <c r="C20" s="12" t="s">
        <v>56</v>
      </c>
      <c r="D20" s="13" t="s">
        <v>12</v>
      </c>
      <c r="E20" s="13" t="s">
        <v>13</v>
      </c>
      <c r="F20" s="14" t="s">
        <v>55</v>
      </c>
      <c r="G20" s="13" t="s">
        <v>15</v>
      </c>
      <c r="H20" s="14" t="s">
        <v>55</v>
      </c>
      <c r="I20" s="12" t="s">
        <v>17</v>
      </c>
    </row>
    <row r="21" ht="22" customHeight="1" spans="1:9">
      <c r="A21" s="15"/>
      <c r="B21" s="15"/>
      <c r="C21" s="12" t="s">
        <v>57</v>
      </c>
      <c r="D21" s="13" t="s">
        <v>12</v>
      </c>
      <c r="E21" s="13" t="s">
        <v>13</v>
      </c>
      <c r="F21" s="14" t="s">
        <v>58</v>
      </c>
      <c r="G21" s="13" t="s">
        <v>15</v>
      </c>
      <c r="H21" s="14" t="s">
        <v>58</v>
      </c>
      <c r="I21" s="12" t="s">
        <v>17</v>
      </c>
    </row>
    <row r="22" ht="22" customHeight="1" spans="1:9">
      <c r="A22" s="15"/>
      <c r="B22" s="15"/>
      <c r="C22" s="12" t="s">
        <v>59</v>
      </c>
      <c r="D22" s="13" t="s">
        <v>12</v>
      </c>
      <c r="E22" s="13" t="s">
        <v>13</v>
      </c>
      <c r="F22" s="14" t="s">
        <v>28</v>
      </c>
      <c r="G22" s="13" t="s">
        <v>15</v>
      </c>
      <c r="H22" s="14" t="s">
        <v>58</v>
      </c>
      <c r="I22" s="12" t="s">
        <v>60</v>
      </c>
    </row>
    <row r="23" ht="22" customHeight="1" spans="1:9">
      <c r="A23" s="15"/>
      <c r="B23" s="15"/>
      <c r="C23" s="12" t="s">
        <v>61</v>
      </c>
      <c r="D23" s="13" t="s">
        <v>12</v>
      </c>
      <c r="E23" s="13" t="s">
        <v>13</v>
      </c>
      <c r="F23" s="14" t="s">
        <v>28</v>
      </c>
      <c r="G23" s="13" t="s">
        <v>15</v>
      </c>
      <c r="H23" s="14" t="s">
        <v>62</v>
      </c>
      <c r="I23" s="12" t="s">
        <v>33</v>
      </c>
    </row>
    <row r="24" ht="22" customHeight="1" spans="1:9">
      <c r="A24" s="15"/>
      <c r="B24" s="15"/>
      <c r="C24" s="12" t="s">
        <v>63</v>
      </c>
      <c r="D24" s="13" t="s">
        <v>23</v>
      </c>
      <c r="E24" s="13" t="s">
        <v>13</v>
      </c>
      <c r="F24" s="14" t="s">
        <v>28</v>
      </c>
      <c r="G24" s="13" t="s">
        <v>15</v>
      </c>
      <c r="H24" s="14" t="s">
        <v>64</v>
      </c>
      <c r="I24" s="12" t="s">
        <v>33</v>
      </c>
    </row>
    <row r="25" ht="22" customHeight="1" spans="1:9">
      <c r="A25" s="15"/>
      <c r="B25" s="15"/>
      <c r="C25" s="12" t="s">
        <v>65</v>
      </c>
      <c r="D25" s="13" t="s">
        <v>66</v>
      </c>
      <c r="E25" s="13" t="s">
        <v>13</v>
      </c>
      <c r="F25" s="14" t="s">
        <v>28</v>
      </c>
      <c r="G25" s="13" t="s">
        <v>15</v>
      </c>
      <c r="H25" s="14" t="s">
        <v>64</v>
      </c>
      <c r="I25" s="12" t="s">
        <v>33</v>
      </c>
    </row>
    <row r="26" ht="22" customHeight="1" spans="1:9">
      <c r="A26" s="15"/>
      <c r="B26" s="15"/>
      <c r="C26" s="12" t="s">
        <v>67</v>
      </c>
      <c r="D26" s="13" t="s">
        <v>12</v>
      </c>
      <c r="E26" s="13" t="s">
        <v>13</v>
      </c>
      <c r="F26" s="14" t="s">
        <v>28</v>
      </c>
      <c r="G26" s="13" t="s">
        <v>46</v>
      </c>
      <c r="H26" s="14" t="s">
        <v>28</v>
      </c>
      <c r="I26" s="12" t="s">
        <v>68</v>
      </c>
    </row>
    <row r="27" ht="22" customHeight="1" spans="1:9">
      <c r="A27" s="15"/>
      <c r="B27" s="15"/>
      <c r="C27" s="12" t="s">
        <v>69</v>
      </c>
      <c r="D27" s="13" t="s">
        <v>23</v>
      </c>
      <c r="E27" s="13" t="s">
        <v>13</v>
      </c>
      <c r="F27" s="14" t="s">
        <v>28</v>
      </c>
      <c r="G27" s="13" t="s">
        <v>46</v>
      </c>
      <c r="H27" s="14" t="s">
        <v>28</v>
      </c>
      <c r="I27" s="12" t="s">
        <v>70</v>
      </c>
    </row>
    <row r="28" ht="22" customHeight="1" spans="1:9">
      <c r="A28" s="15"/>
      <c r="B28" s="15"/>
      <c r="C28" s="12" t="s">
        <v>71</v>
      </c>
      <c r="D28" s="13" t="s">
        <v>12</v>
      </c>
      <c r="E28" s="13" t="s">
        <v>13</v>
      </c>
      <c r="F28" s="14" t="s">
        <v>28</v>
      </c>
      <c r="G28" s="13" t="s">
        <v>46</v>
      </c>
      <c r="H28" s="14" t="s">
        <v>28</v>
      </c>
      <c r="I28" s="12" t="s">
        <v>72</v>
      </c>
    </row>
    <row r="29" ht="22" customHeight="1" spans="1:9">
      <c r="A29" s="15"/>
      <c r="B29" s="15"/>
      <c r="C29" s="12" t="s">
        <v>73</v>
      </c>
      <c r="D29" s="13" t="s">
        <v>12</v>
      </c>
      <c r="E29" s="13" t="s">
        <v>13</v>
      </c>
      <c r="F29" s="14" t="s">
        <v>28</v>
      </c>
      <c r="G29" s="13" t="s">
        <v>46</v>
      </c>
      <c r="H29" s="14" t="s">
        <v>28</v>
      </c>
      <c r="I29" s="12" t="s">
        <v>74</v>
      </c>
    </row>
    <row r="30" ht="22" customHeight="1" spans="1:9">
      <c r="A30" s="15"/>
      <c r="B30" s="16"/>
      <c r="C30" s="12" t="s">
        <v>75</v>
      </c>
      <c r="D30" s="13" t="s">
        <v>66</v>
      </c>
      <c r="E30" s="13" t="s">
        <v>13</v>
      </c>
      <c r="F30" s="14" t="s">
        <v>28</v>
      </c>
      <c r="G30" s="13" t="s">
        <v>15</v>
      </c>
      <c r="H30" s="14" t="s">
        <v>37</v>
      </c>
      <c r="I30" s="12" t="s">
        <v>33</v>
      </c>
    </row>
    <row r="31" ht="22" customHeight="1" spans="1:9">
      <c r="A31" s="15"/>
      <c r="B31" s="11" t="s">
        <v>76</v>
      </c>
      <c r="C31" s="12" t="s">
        <v>77</v>
      </c>
      <c r="D31" s="13" t="s">
        <v>12</v>
      </c>
      <c r="E31" s="13" t="s">
        <v>13</v>
      </c>
      <c r="F31" s="14" t="s">
        <v>78</v>
      </c>
      <c r="G31" s="13" t="s">
        <v>15</v>
      </c>
      <c r="H31" s="14" t="s">
        <v>28</v>
      </c>
      <c r="I31" s="12" t="s">
        <v>17</v>
      </c>
    </row>
    <row r="32" ht="22" customHeight="1" spans="1:9">
      <c r="A32" s="15"/>
      <c r="B32" s="15"/>
      <c r="C32" s="12" t="s">
        <v>79</v>
      </c>
      <c r="D32" s="13" t="s">
        <v>12</v>
      </c>
      <c r="E32" s="13" t="s">
        <v>13</v>
      </c>
      <c r="F32" s="14" t="s">
        <v>28</v>
      </c>
      <c r="G32" s="13" t="s">
        <v>15</v>
      </c>
      <c r="H32" s="14" t="s">
        <v>80</v>
      </c>
      <c r="I32" s="12" t="s">
        <v>33</v>
      </c>
    </row>
    <row r="33" ht="22" customHeight="1" spans="1:9">
      <c r="A33" s="15"/>
      <c r="B33" s="15"/>
      <c r="C33" s="12" t="s">
        <v>81</v>
      </c>
      <c r="D33" s="13" t="s">
        <v>23</v>
      </c>
      <c r="E33" s="13" t="s">
        <v>13</v>
      </c>
      <c r="F33" s="14" t="s">
        <v>28</v>
      </c>
      <c r="G33" s="13" t="s">
        <v>15</v>
      </c>
      <c r="H33" s="14" t="s">
        <v>82</v>
      </c>
      <c r="I33" s="12" t="s">
        <v>33</v>
      </c>
    </row>
    <row r="34" ht="22" customHeight="1" spans="1:9">
      <c r="A34" s="15"/>
      <c r="B34" s="15"/>
      <c r="C34" s="12" t="s">
        <v>83</v>
      </c>
      <c r="D34" s="13" t="s">
        <v>12</v>
      </c>
      <c r="E34" s="13" t="s">
        <v>13</v>
      </c>
      <c r="F34" s="14" t="s">
        <v>28</v>
      </c>
      <c r="G34" s="13" t="s">
        <v>15</v>
      </c>
      <c r="H34" s="14" t="s">
        <v>84</v>
      </c>
      <c r="I34" s="12" t="s">
        <v>33</v>
      </c>
    </row>
    <row r="35" ht="22" customHeight="1" spans="1:9">
      <c r="A35" s="15"/>
      <c r="B35" s="16"/>
      <c r="C35" s="12" t="s">
        <v>85</v>
      </c>
      <c r="D35" s="13" t="s">
        <v>12</v>
      </c>
      <c r="E35" s="13" t="s">
        <v>13</v>
      </c>
      <c r="F35" s="14" t="s">
        <v>28</v>
      </c>
      <c r="G35" s="13" t="s">
        <v>43</v>
      </c>
      <c r="H35" s="14" t="s">
        <v>28</v>
      </c>
      <c r="I35" s="12" t="s">
        <v>86</v>
      </c>
    </row>
    <row r="36" ht="22" customHeight="1" spans="1:9">
      <c r="A36" s="15"/>
      <c r="B36" s="11" t="s">
        <v>87</v>
      </c>
      <c r="C36" s="12" t="s">
        <v>88</v>
      </c>
      <c r="D36" s="13" t="s">
        <v>12</v>
      </c>
      <c r="E36" s="13" t="s">
        <v>13</v>
      </c>
      <c r="F36" s="14" t="s">
        <v>89</v>
      </c>
      <c r="G36" s="13" t="s">
        <v>15</v>
      </c>
      <c r="H36" s="14" t="s">
        <v>89</v>
      </c>
      <c r="I36" s="12" t="s">
        <v>17</v>
      </c>
    </row>
    <row r="37" ht="22" customHeight="1" spans="1:9">
      <c r="A37" s="15"/>
      <c r="B37" s="15"/>
      <c r="C37" s="12" t="s">
        <v>90</v>
      </c>
      <c r="D37" s="13" t="s">
        <v>23</v>
      </c>
      <c r="E37" s="13" t="s">
        <v>13</v>
      </c>
      <c r="F37" s="14" t="s">
        <v>91</v>
      </c>
      <c r="G37" s="13" t="s">
        <v>15</v>
      </c>
      <c r="H37" s="14" t="s">
        <v>92</v>
      </c>
      <c r="I37" s="12" t="s">
        <v>17</v>
      </c>
    </row>
    <row r="38" ht="22" customHeight="1" spans="1:9">
      <c r="A38" s="15"/>
      <c r="B38" s="15"/>
      <c r="C38" s="12" t="s">
        <v>93</v>
      </c>
      <c r="D38" s="13" t="s">
        <v>23</v>
      </c>
      <c r="E38" s="13" t="s">
        <v>13</v>
      </c>
      <c r="F38" s="14" t="s">
        <v>91</v>
      </c>
      <c r="G38" s="13" t="s">
        <v>15</v>
      </c>
      <c r="H38" s="14" t="s">
        <v>94</v>
      </c>
      <c r="I38" s="12" t="s">
        <v>17</v>
      </c>
    </row>
    <row r="39" ht="22" customHeight="1" spans="1:9">
      <c r="A39" s="15"/>
      <c r="B39" s="15"/>
      <c r="C39" s="12" t="s">
        <v>95</v>
      </c>
      <c r="D39" s="13" t="s">
        <v>23</v>
      </c>
      <c r="E39" s="13" t="s">
        <v>13</v>
      </c>
      <c r="F39" s="14" t="s">
        <v>96</v>
      </c>
      <c r="G39" s="13" t="s">
        <v>15</v>
      </c>
      <c r="H39" s="14" t="s">
        <v>97</v>
      </c>
      <c r="I39" s="12" t="s">
        <v>17</v>
      </c>
    </row>
    <row r="40" ht="22" customHeight="1" spans="1:9">
      <c r="A40" s="15"/>
      <c r="B40" s="15"/>
      <c r="C40" s="12" t="s">
        <v>98</v>
      </c>
      <c r="D40" s="13" t="s">
        <v>23</v>
      </c>
      <c r="E40" s="13" t="s">
        <v>13</v>
      </c>
      <c r="F40" s="14" t="s">
        <v>96</v>
      </c>
      <c r="G40" s="13" t="s">
        <v>15</v>
      </c>
      <c r="H40" s="14" t="s">
        <v>97</v>
      </c>
      <c r="I40" s="12" t="s">
        <v>17</v>
      </c>
    </row>
    <row r="41" ht="22" customHeight="1" spans="1:9">
      <c r="A41" s="15"/>
      <c r="B41" s="15"/>
      <c r="C41" s="12" t="s">
        <v>99</v>
      </c>
      <c r="D41" s="13" t="s">
        <v>23</v>
      </c>
      <c r="E41" s="13" t="s">
        <v>13</v>
      </c>
      <c r="F41" s="14" t="s">
        <v>91</v>
      </c>
      <c r="G41" s="13" t="s">
        <v>15</v>
      </c>
      <c r="H41" s="14" t="s">
        <v>100</v>
      </c>
      <c r="I41" s="12" t="s">
        <v>17</v>
      </c>
    </row>
    <row r="42" ht="22" customHeight="1" spans="1:9">
      <c r="A42" s="15"/>
      <c r="B42" s="15"/>
      <c r="C42" s="12" t="s">
        <v>101</v>
      </c>
      <c r="D42" s="13" t="s">
        <v>66</v>
      </c>
      <c r="E42" s="13" t="s">
        <v>13</v>
      </c>
      <c r="F42" s="14" t="s">
        <v>102</v>
      </c>
      <c r="G42" s="13" t="s">
        <v>43</v>
      </c>
      <c r="H42" s="14" t="s">
        <v>28</v>
      </c>
      <c r="I42" s="12" t="s">
        <v>17</v>
      </c>
    </row>
    <row r="43" ht="22" customHeight="1" spans="1:9">
      <c r="A43" s="15"/>
      <c r="B43" s="15"/>
      <c r="C43" s="12" t="s">
        <v>103</v>
      </c>
      <c r="D43" s="13" t="s">
        <v>23</v>
      </c>
      <c r="E43" s="13" t="s">
        <v>13</v>
      </c>
      <c r="F43" s="14" t="s">
        <v>28</v>
      </c>
      <c r="G43" s="13" t="s">
        <v>15</v>
      </c>
      <c r="H43" s="14" t="s">
        <v>104</v>
      </c>
      <c r="I43" s="12" t="s">
        <v>33</v>
      </c>
    </row>
    <row r="44" ht="22" customHeight="1" spans="1:9">
      <c r="A44" s="15"/>
      <c r="B44" s="15"/>
      <c r="C44" s="12" t="s">
        <v>105</v>
      </c>
      <c r="D44" s="13" t="s">
        <v>23</v>
      </c>
      <c r="E44" s="13" t="s">
        <v>13</v>
      </c>
      <c r="F44" s="14" t="s">
        <v>28</v>
      </c>
      <c r="G44" s="13" t="s">
        <v>15</v>
      </c>
      <c r="H44" s="14" t="s">
        <v>104</v>
      </c>
      <c r="I44" s="12" t="s">
        <v>33</v>
      </c>
    </row>
    <row r="45" ht="22" customHeight="1" spans="1:9">
      <c r="A45" s="15"/>
      <c r="B45" s="15"/>
      <c r="C45" s="12" t="s">
        <v>106</v>
      </c>
      <c r="D45" s="13" t="s">
        <v>23</v>
      </c>
      <c r="E45" s="13" t="s">
        <v>13</v>
      </c>
      <c r="F45" s="14" t="s">
        <v>28</v>
      </c>
      <c r="G45" s="13" t="s">
        <v>15</v>
      </c>
      <c r="H45" s="14" t="s">
        <v>62</v>
      </c>
      <c r="I45" s="12" t="s">
        <v>107</v>
      </c>
    </row>
    <row r="46" ht="22" customHeight="1" spans="1:9">
      <c r="A46" s="15"/>
      <c r="B46" s="15"/>
      <c r="C46" s="12" t="s">
        <v>108</v>
      </c>
      <c r="D46" s="13" t="s">
        <v>23</v>
      </c>
      <c r="E46" s="13" t="s">
        <v>13</v>
      </c>
      <c r="F46" s="14" t="s">
        <v>28</v>
      </c>
      <c r="G46" s="13" t="s">
        <v>15</v>
      </c>
      <c r="H46" s="14" t="s">
        <v>62</v>
      </c>
      <c r="I46" s="12" t="s">
        <v>33</v>
      </c>
    </row>
    <row r="47" ht="22" customHeight="1" spans="1:9">
      <c r="A47" s="15"/>
      <c r="B47" s="15"/>
      <c r="C47" s="12" t="s">
        <v>109</v>
      </c>
      <c r="D47" s="13" t="s">
        <v>12</v>
      </c>
      <c r="E47" s="13" t="s">
        <v>13</v>
      </c>
      <c r="F47" s="14" t="s">
        <v>28</v>
      </c>
      <c r="G47" s="13" t="s">
        <v>15</v>
      </c>
      <c r="H47" s="14" t="s">
        <v>37</v>
      </c>
      <c r="I47" s="12" t="s">
        <v>110</v>
      </c>
    </row>
    <row r="48" ht="22" customHeight="1" spans="1:9">
      <c r="A48" s="15"/>
      <c r="B48" s="15"/>
      <c r="C48" s="12" t="s">
        <v>111</v>
      </c>
      <c r="D48" s="13" t="s">
        <v>23</v>
      </c>
      <c r="E48" s="13" t="s">
        <v>13</v>
      </c>
      <c r="F48" s="14" t="s">
        <v>28</v>
      </c>
      <c r="G48" s="13" t="s">
        <v>15</v>
      </c>
      <c r="H48" s="14" t="s">
        <v>112</v>
      </c>
      <c r="I48" s="12" t="s">
        <v>33</v>
      </c>
    </row>
    <row r="49" ht="22" customHeight="1" spans="1:9">
      <c r="A49" s="15"/>
      <c r="B49" s="15"/>
      <c r="C49" s="12" t="s">
        <v>113</v>
      </c>
      <c r="D49" s="13" t="s">
        <v>23</v>
      </c>
      <c r="E49" s="13" t="s">
        <v>13</v>
      </c>
      <c r="F49" s="14" t="s">
        <v>28</v>
      </c>
      <c r="G49" s="13" t="s">
        <v>46</v>
      </c>
      <c r="H49" s="14" t="s">
        <v>28</v>
      </c>
      <c r="I49" s="12" t="s">
        <v>114</v>
      </c>
    </row>
    <row r="50" ht="22" customHeight="1" spans="1:9">
      <c r="A50" s="15"/>
      <c r="B50" s="16"/>
      <c r="C50" s="12" t="s">
        <v>115</v>
      </c>
      <c r="D50" s="13" t="s">
        <v>12</v>
      </c>
      <c r="E50" s="13" t="s">
        <v>13</v>
      </c>
      <c r="F50" s="14" t="s">
        <v>28</v>
      </c>
      <c r="G50" s="13" t="s">
        <v>46</v>
      </c>
      <c r="H50" s="14" t="s">
        <v>28</v>
      </c>
      <c r="I50" s="12" t="s">
        <v>116</v>
      </c>
    </row>
    <row r="51" ht="22" customHeight="1" spans="1:9">
      <c r="A51" s="15"/>
      <c r="B51" s="11" t="s">
        <v>117</v>
      </c>
      <c r="C51" s="12" t="s">
        <v>118</v>
      </c>
      <c r="D51" s="13" t="s">
        <v>23</v>
      </c>
      <c r="E51" s="13" t="s">
        <v>13</v>
      </c>
      <c r="F51" s="14" t="s">
        <v>119</v>
      </c>
      <c r="G51" s="13" t="s">
        <v>46</v>
      </c>
      <c r="H51" s="14" t="s">
        <v>28</v>
      </c>
      <c r="I51" s="12" t="s">
        <v>17</v>
      </c>
    </row>
    <row r="52" ht="22" customHeight="1" spans="1:9">
      <c r="A52" s="15"/>
      <c r="B52" s="15"/>
      <c r="C52" s="12" t="s">
        <v>120</v>
      </c>
      <c r="D52" s="13" t="s">
        <v>23</v>
      </c>
      <c r="E52" s="13" t="s">
        <v>13</v>
      </c>
      <c r="F52" s="14" t="s">
        <v>119</v>
      </c>
      <c r="G52" s="13" t="s">
        <v>46</v>
      </c>
      <c r="H52" s="14" t="s">
        <v>28</v>
      </c>
      <c r="I52" s="12" t="s">
        <v>17</v>
      </c>
    </row>
    <row r="53" ht="22" customHeight="1" spans="1:9">
      <c r="A53" s="15"/>
      <c r="B53" s="15"/>
      <c r="C53" s="12" t="s">
        <v>121</v>
      </c>
      <c r="D53" s="13" t="s">
        <v>23</v>
      </c>
      <c r="E53" s="13" t="s">
        <v>13</v>
      </c>
      <c r="F53" s="14" t="s">
        <v>28</v>
      </c>
      <c r="G53" s="13" t="s">
        <v>46</v>
      </c>
      <c r="H53" s="14" t="s">
        <v>28</v>
      </c>
      <c r="I53" s="12" t="s">
        <v>122</v>
      </c>
    </row>
    <row r="54" ht="22" customHeight="1" spans="1:9">
      <c r="A54" s="15"/>
      <c r="B54" s="15"/>
      <c r="C54" s="12" t="s">
        <v>123</v>
      </c>
      <c r="D54" s="13" t="s">
        <v>23</v>
      </c>
      <c r="E54" s="13" t="s">
        <v>13</v>
      </c>
      <c r="F54" s="14" t="s">
        <v>28</v>
      </c>
      <c r="G54" s="13" t="s">
        <v>15</v>
      </c>
      <c r="H54" s="14" t="s">
        <v>37</v>
      </c>
      <c r="I54" s="12" t="s">
        <v>33</v>
      </c>
    </row>
    <row r="55" ht="22" customHeight="1" spans="1:9">
      <c r="A55" s="15"/>
      <c r="B55" s="15"/>
      <c r="C55" s="12" t="s">
        <v>124</v>
      </c>
      <c r="D55" s="13" t="s">
        <v>12</v>
      </c>
      <c r="E55" s="13" t="s">
        <v>13</v>
      </c>
      <c r="F55" s="14" t="s">
        <v>28</v>
      </c>
      <c r="G55" s="13" t="s">
        <v>15</v>
      </c>
      <c r="H55" s="14" t="s">
        <v>80</v>
      </c>
      <c r="I55" s="12" t="s">
        <v>125</v>
      </c>
    </row>
    <row r="56" ht="22" customHeight="1" spans="1:9">
      <c r="A56" s="15"/>
      <c r="B56" s="15"/>
      <c r="C56" s="12" t="s">
        <v>126</v>
      </c>
      <c r="D56" s="13" t="s">
        <v>23</v>
      </c>
      <c r="E56" s="13" t="s">
        <v>13</v>
      </c>
      <c r="F56" s="14" t="s">
        <v>28</v>
      </c>
      <c r="G56" s="13" t="s">
        <v>46</v>
      </c>
      <c r="H56" s="14" t="s">
        <v>28</v>
      </c>
      <c r="I56" s="12" t="s">
        <v>127</v>
      </c>
    </row>
    <row r="57" ht="22" customHeight="1" spans="1:9">
      <c r="A57" s="15"/>
      <c r="B57" s="15"/>
      <c r="C57" s="12" t="s">
        <v>128</v>
      </c>
      <c r="D57" s="13" t="s">
        <v>23</v>
      </c>
      <c r="E57" s="13" t="s">
        <v>13</v>
      </c>
      <c r="F57" s="14" t="s">
        <v>28</v>
      </c>
      <c r="G57" s="13" t="s">
        <v>43</v>
      </c>
      <c r="H57" s="14" t="s">
        <v>28</v>
      </c>
      <c r="I57" s="12" t="s">
        <v>129</v>
      </c>
    </row>
    <row r="58" ht="22" customHeight="1" spans="1:9">
      <c r="A58" s="15"/>
      <c r="B58" s="15"/>
      <c r="C58" s="12" t="s">
        <v>130</v>
      </c>
      <c r="D58" s="13" t="s">
        <v>66</v>
      </c>
      <c r="E58" s="13" t="s">
        <v>13</v>
      </c>
      <c r="F58" s="14" t="s">
        <v>28</v>
      </c>
      <c r="G58" s="13" t="s">
        <v>43</v>
      </c>
      <c r="H58" s="14" t="s">
        <v>28</v>
      </c>
      <c r="I58" s="12" t="s">
        <v>131</v>
      </c>
    </row>
    <row r="59" ht="22" customHeight="1" spans="1:9">
      <c r="A59" s="15"/>
      <c r="B59" s="16"/>
      <c r="C59" s="12" t="s">
        <v>132</v>
      </c>
      <c r="D59" s="13" t="s">
        <v>66</v>
      </c>
      <c r="E59" s="13" t="s">
        <v>13</v>
      </c>
      <c r="F59" s="14" t="s">
        <v>28</v>
      </c>
      <c r="G59" s="13" t="s">
        <v>46</v>
      </c>
      <c r="H59" s="14" t="s">
        <v>28</v>
      </c>
      <c r="I59" s="12" t="s">
        <v>114</v>
      </c>
    </row>
    <row r="60" ht="22" customHeight="1" spans="1:9">
      <c r="A60" s="15"/>
      <c r="B60" s="11" t="s">
        <v>133</v>
      </c>
      <c r="C60" s="12" t="s">
        <v>134</v>
      </c>
      <c r="D60" s="13" t="s">
        <v>12</v>
      </c>
      <c r="E60" s="13" t="s">
        <v>13</v>
      </c>
      <c r="F60" s="14" t="s">
        <v>28</v>
      </c>
      <c r="G60" s="13" t="s">
        <v>15</v>
      </c>
      <c r="H60" s="14" t="s">
        <v>32</v>
      </c>
      <c r="I60" s="12" t="s">
        <v>33</v>
      </c>
    </row>
    <row r="61" ht="22" customHeight="1" spans="1:9">
      <c r="A61" s="15"/>
      <c r="B61" s="15"/>
      <c r="C61" s="12" t="s">
        <v>135</v>
      </c>
      <c r="D61" s="13" t="s">
        <v>12</v>
      </c>
      <c r="E61" s="13" t="s">
        <v>13</v>
      </c>
      <c r="F61" s="14" t="s">
        <v>28</v>
      </c>
      <c r="G61" s="13" t="s">
        <v>15</v>
      </c>
      <c r="H61" s="14" t="s">
        <v>136</v>
      </c>
      <c r="I61" s="12" t="s">
        <v>33</v>
      </c>
    </row>
    <row r="62" ht="22" customHeight="1" spans="1:9">
      <c r="A62" s="15"/>
      <c r="B62" s="15"/>
      <c r="C62" s="12" t="s">
        <v>137</v>
      </c>
      <c r="D62" s="13" t="s">
        <v>12</v>
      </c>
      <c r="E62" s="13" t="s">
        <v>13</v>
      </c>
      <c r="F62" s="14" t="s">
        <v>28</v>
      </c>
      <c r="G62" s="13" t="s">
        <v>15</v>
      </c>
      <c r="H62" s="14" t="s">
        <v>138</v>
      </c>
      <c r="I62" s="12" t="s">
        <v>33</v>
      </c>
    </row>
    <row r="63" ht="22" customHeight="1" spans="1:9">
      <c r="A63" s="15"/>
      <c r="B63" s="15"/>
      <c r="C63" s="12" t="s">
        <v>139</v>
      </c>
      <c r="D63" s="13" t="s">
        <v>23</v>
      </c>
      <c r="E63" s="13" t="s">
        <v>13</v>
      </c>
      <c r="F63" s="14" t="s">
        <v>28</v>
      </c>
      <c r="G63" s="13" t="s">
        <v>15</v>
      </c>
      <c r="H63" s="14" t="s">
        <v>140</v>
      </c>
      <c r="I63" s="12" t="s">
        <v>33</v>
      </c>
    </row>
    <row r="64" ht="22" customHeight="1" spans="1:9">
      <c r="A64" s="15"/>
      <c r="B64" s="15"/>
      <c r="C64" s="12" t="s">
        <v>141</v>
      </c>
      <c r="D64" s="13" t="s">
        <v>23</v>
      </c>
      <c r="E64" s="13" t="s">
        <v>13</v>
      </c>
      <c r="F64" s="14" t="s">
        <v>28</v>
      </c>
      <c r="G64" s="13" t="s">
        <v>15</v>
      </c>
      <c r="H64" s="14" t="s">
        <v>142</v>
      </c>
      <c r="I64" s="12" t="s">
        <v>33</v>
      </c>
    </row>
    <row r="65" ht="22" customHeight="1" spans="1:9">
      <c r="A65" s="15"/>
      <c r="B65" s="15"/>
      <c r="C65" s="12" t="s">
        <v>143</v>
      </c>
      <c r="D65" s="13" t="s">
        <v>12</v>
      </c>
      <c r="E65" s="13" t="s">
        <v>13</v>
      </c>
      <c r="F65" s="14" t="s">
        <v>28</v>
      </c>
      <c r="G65" s="13" t="s">
        <v>15</v>
      </c>
      <c r="H65" s="14" t="s">
        <v>142</v>
      </c>
      <c r="I65" s="12" t="s">
        <v>144</v>
      </c>
    </row>
    <row r="66" ht="22" customHeight="1" spans="1:9">
      <c r="A66" s="15"/>
      <c r="B66" s="15"/>
      <c r="C66" s="12" t="s">
        <v>145</v>
      </c>
      <c r="D66" s="13" t="s">
        <v>23</v>
      </c>
      <c r="E66" s="13" t="s">
        <v>13</v>
      </c>
      <c r="F66" s="14" t="s">
        <v>28</v>
      </c>
      <c r="G66" s="13" t="s">
        <v>15</v>
      </c>
      <c r="H66" s="14" t="s">
        <v>37</v>
      </c>
      <c r="I66" s="12" t="s">
        <v>146</v>
      </c>
    </row>
    <row r="67" ht="22" customHeight="1" spans="1:9">
      <c r="A67" s="15"/>
      <c r="B67" s="15"/>
      <c r="C67" s="12" t="s">
        <v>147</v>
      </c>
      <c r="D67" s="13" t="s">
        <v>12</v>
      </c>
      <c r="E67" s="13" t="s">
        <v>13</v>
      </c>
      <c r="F67" s="14" t="s">
        <v>28</v>
      </c>
      <c r="G67" s="13" t="s">
        <v>46</v>
      </c>
      <c r="H67" s="14" t="s">
        <v>28</v>
      </c>
      <c r="I67" s="12" t="s">
        <v>148</v>
      </c>
    </row>
    <row r="68" ht="22" customHeight="1" spans="1:9">
      <c r="A68" s="15"/>
      <c r="B68" s="16"/>
      <c r="C68" s="12" t="s">
        <v>149</v>
      </c>
      <c r="D68" s="13" t="s">
        <v>12</v>
      </c>
      <c r="E68" s="13" t="s">
        <v>13</v>
      </c>
      <c r="F68" s="14" t="s">
        <v>28</v>
      </c>
      <c r="G68" s="13" t="s">
        <v>43</v>
      </c>
      <c r="H68" s="14" t="s">
        <v>28</v>
      </c>
      <c r="I68" s="12" t="s">
        <v>150</v>
      </c>
    </row>
    <row r="69" ht="22" customHeight="1" spans="1:9">
      <c r="A69" s="15"/>
      <c r="B69" s="11" t="s">
        <v>151</v>
      </c>
      <c r="C69" s="12" t="s">
        <v>152</v>
      </c>
      <c r="D69" s="13" t="s">
        <v>23</v>
      </c>
      <c r="E69" s="13" t="s">
        <v>13</v>
      </c>
      <c r="F69" s="14" t="s">
        <v>28</v>
      </c>
      <c r="G69" s="13" t="s">
        <v>15</v>
      </c>
      <c r="H69" s="14" t="s">
        <v>104</v>
      </c>
      <c r="I69" s="12" t="s">
        <v>33</v>
      </c>
    </row>
    <row r="70" ht="22" customHeight="1" spans="1:9">
      <c r="A70" s="15"/>
      <c r="B70" s="15"/>
      <c r="C70" s="12" t="s">
        <v>153</v>
      </c>
      <c r="D70" s="13" t="s">
        <v>23</v>
      </c>
      <c r="E70" s="13" t="s">
        <v>13</v>
      </c>
      <c r="F70" s="14" t="s">
        <v>28</v>
      </c>
      <c r="G70" s="13" t="s">
        <v>15</v>
      </c>
      <c r="H70" s="14" t="s">
        <v>154</v>
      </c>
      <c r="I70" s="12" t="s">
        <v>33</v>
      </c>
    </row>
    <row r="71" ht="22" customHeight="1" spans="1:9">
      <c r="A71" s="15"/>
      <c r="B71" s="15"/>
      <c r="C71" s="12" t="s">
        <v>155</v>
      </c>
      <c r="D71" s="13" t="s">
        <v>23</v>
      </c>
      <c r="E71" s="13" t="s">
        <v>13</v>
      </c>
      <c r="F71" s="14" t="s">
        <v>28</v>
      </c>
      <c r="G71" s="13" t="s">
        <v>15</v>
      </c>
      <c r="H71" s="14" t="s">
        <v>37</v>
      </c>
      <c r="I71" s="12" t="s">
        <v>33</v>
      </c>
    </row>
    <row r="72" ht="22" customHeight="1" spans="1:9">
      <c r="A72" s="15"/>
      <c r="B72" s="15"/>
      <c r="C72" s="12" t="s">
        <v>156</v>
      </c>
      <c r="D72" s="13" t="s">
        <v>23</v>
      </c>
      <c r="E72" s="13" t="s">
        <v>13</v>
      </c>
      <c r="F72" s="14" t="s">
        <v>28</v>
      </c>
      <c r="G72" s="13" t="s">
        <v>15</v>
      </c>
      <c r="H72" s="14" t="s">
        <v>37</v>
      </c>
      <c r="I72" s="12" t="s">
        <v>33</v>
      </c>
    </row>
    <row r="73" ht="22" customHeight="1" spans="1:9">
      <c r="A73" s="15"/>
      <c r="B73" s="15"/>
      <c r="C73" s="12" t="s">
        <v>157</v>
      </c>
      <c r="D73" s="13" t="s">
        <v>23</v>
      </c>
      <c r="E73" s="13" t="s">
        <v>13</v>
      </c>
      <c r="F73" s="14" t="s">
        <v>28</v>
      </c>
      <c r="G73" s="13" t="s">
        <v>15</v>
      </c>
      <c r="H73" s="14" t="s">
        <v>154</v>
      </c>
      <c r="I73" s="12" t="s">
        <v>33</v>
      </c>
    </row>
    <row r="74" ht="22" customHeight="1" spans="1:9">
      <c r="A74" s="15"/>
      <c r="B74" s="16"/>
      <c r="C74" s="12" t="s">
        <v>158</v>
      </c>
      <c r="D74" s="13" t="s">
        <v>66</v>
      </c>
      <c r="E74" s="13" t="s">
        <v>13</v>
      </c>
      <c r="F74" s="14" t="s">
        <v>28</v>
      </c>
      <c r="G74" s="13" t="s">
        <v>43</v>
      </c>
      <c r="H74" s="14" t="s">
        <v>28</v>
      </c>
      <c r="I74" s="12" t="s">
        <v>159</v>
      </c>
    </row>
    <row r="75" ht="22" customHeight="1" spans="1:9">
      <c r="A75" s="15"/>
      <c r="B75" s="11" t="s">
        <v>160</v>
      </c>
      <c r="C75" s="12" t="s">
        <v>161</v>
      </c>
      <c r="D75" s="13" t="s">
        <v>12</v>
      </c>
      <c r="E75" s="13" t="s">
        <v>13</v>
      </c>
      <c r="F75" s="14" t="s">
        <v>28</v>
      </c>
      <c r="G75" s="13" t="s">
        <v>15</v>
      </c>
      <c r="H75" s="14" t="s">
        <v>104</v>
      </c>
      <c r="I75" s="12" t="s">
        <v>33</v>
      </c>
    </row>
    <row r="76" ht="22" customHeight="1" spans="1:9">
      <c r="A76" s="15"/>
      <c r="B76" s="15"/>
      <c r="C76" s="12" t="s">
        <v>162</v>
      </c>
      <c r="D76" s="13" t="s">
        <v>12</v>
      </c>
      <c r="E76" s="13" t="s">
        <v>13</v>
      </c>
      <c r="F76" s="14" t="s">
        <v>28</v>
      </c>
      <c r="G76" s="13" t="s">
        <v>15</v>
      </c>
      <c r="H76" s="14" t="s">
        <v>163</v>
      </c>
      <c r="I76" s="12" t="s">
        <v>33</v>
      </c>
    </row>
    <row r="77" ht="22" customHeight="1" spans="1:9">
      <c r="A77" s="15"/>
      <c r="B77" s="15"/>
      <c r="C77" s="12" t="s">
        <v>164</v>
      </c>
      <c r="D77" s="13" t="s">
        <v>12</v>
      </c>
      <c r="E77" s="13" t="s">
        <v>13</v>
      </c>
      <c r="F77" s="14" t="s">
        <v>28</v>
      </c>
      <c r="G77" s="13" t="s">
        <v>15</v>
      </c>
      <c r="H77" s="14" t="s">
        <v>165</v>
      </c>
      <c r="I77" s="12" t="s">
        <v>33</v>
      </c>
    </row>
    <row r="78" ht="22" customHeight="1" spans="1:9">
      <c r="A78" s="15"/>
      <c r="B78" s="15"/>
      <c r="C78" s="12" t="s">
        <v>166</v>
      </c>
      <c r="D78" s="13" t="s">
        <v>23</v>
      </c>
      <c r="E78" s="13" t="s">
        <v>13</v>
      </c>
      <c r="F78" s="14" t="s">
        <v>28</v>
      </c>
      <c r="G78" s="13" t="s">
        <v>15</v>
      </c>
      <c r="H78" s="14" t="s">
        <v>167</v>
      </c>
      <c r="I78" s="12" t="s">
        <v>168</v>
      </c>
    </row>
    <row r="79" ht="22" customHeight="1" spans="1:9">
      <c r="A79" s="15"/>
      <c r="B79" s="15"/>
      <c r="C79" s="12" t="s">
        <v>169</v>
      </c>
      <c r="D79" s="13" t="s">
        <v>23</v>
      </c>
      <c r="E79" s="13" t="s">
        <v>13</v>
      </c>
      <c r="F79" s="14" t="s">
        <v>28</v>
      </c>
      <c r="G79" s="13" t="s">
        <v>15</v>
      </c>
      <c r="H79" s="14" t="s">
        <v>170</v>
      </c>
      <c r="I79" s="12" t="s">
        <v>33</v>
      </c>
    </row>
    <row r="80" ht="22" customHeight="1" spans="1:9">
      <c r="A80" s="15"/>
      <c r="B80" s="16"/>
      <c r="C80" s="12" t="s">
        <v>171</v>
      </c>
      <c r="D80" s="13" t="s">
        <v>23</v>
      </c>
      <c r="E80" s="13" t="s">
        <v>13</v>
      </c>
      <c r="F80" s="14" t="s">
        <v>28</v>
      </c>
      <c r="G80" s="13" t="s">
        <v>46</v>
      </c>
      <c r="H80" s="14" t="s">
        <v>28</v>
      </c>
      <c r="I80" s="12" t="s">
        <v>172</v>
      </c>
    </row>
    <row r="81" ht="22" customHeight="1" spans="1:9">
      <c r="A81" s="15"/>
      <c r="B81" s="11" t="s">
        <v>173</v>
      </c>
      <c r="C81" s="12" t="s">
        <v>174</v>
      </c>
      <c r="D81" s="13" t="s">
        <v>12</v>
      </c>
      <c r="E81" s="13" t="s">
        <v>13</v>
      </c>
      <c r="F81" s="14" t="s">
        <v>28</v>
      </c>
      <c r="G81" s="13" t="s">
        <v>15</v>
      </c>
      <c r="H81" s="14" t="s">
        <v>163</v>
      </c>
      <c r="I81" s="12" t="s">
        <v>175</v>
      </c>
    </row>
    <row r="82" ht="22" customHeight="1" spans="1:9">
      <c r="A82" s="15"/>
      <c r="B82" s="15"/>
      <c r="C82" s="12" t="s">
        <v>176</v>
      </c>
      <c r="D82" s="13" t="s">
        <v>12</v>
      </c>
      <c r="E82" s="13" t="s">
        <v>13</v>
      </c>
      <c r="F82" s="14" t="s">
        <v>28</v>
      </c>
      <c r="G82" s="13" t="s">
        <v>15</v>
      </c>
      <c r="H82" s="14" t="s">
        <v>177</v>
      </c>
      <c r="I82" s="12" t="s">
        <v>178</v>
      </c>
    </row>
    <row r="83" ht="22" customHeight="1" spans="1:9">
      <c r="A83" s="15"/>
      <c r="B83" s="15"/>
      <c r="C83" s="12" t="s">
        <v>179</v>
      </c>
      <c r="D83" s="13" t="s">
        <v>12</v>
      </c>
      <c r="E83" s="13" t="s">
        <v>13</v>
      </c>
      <c r="F83" s="14" t="s">
        <v>28</v>
      </c>
      <c r="G83" s="13" t="s">
        <v>15</v>
      </c>
      <c r="H83" s="14" t="s">
        <v>92</v>
      </c>
      <c r="I83" s="12" t="s">
        <v>180</v>
      </c>
    </row>
    <row r="84" ht="22" customHeight="1" spans="1:9">
      <c r="A84" s="15"/>
      <c r="B84" s="15"/>
      <c r="C84" s="12" t="s">
        <v>181</v>
      </c>
      <c r="D84" s="13" t="s">
        <v>12</v>
      </c>
      <c r="E84" s="13" t="s">
        <v>13</v>
      </c>
      <c r="F84" s="14" t="s">
        <v>28</v>
      </c>
      <c r="G84" s="13" t="s">
        <v>15</v>
      </c>
      <c r="H84" s="14" t="s">
        <v>163</v>
      </c>
      <c r="I84" s="12" t="s">
        <v>33</v>
      </c>
    </row>
    <row r="85" ht="22" customHeight="1" spans="1:9">
      <c r="A85" s="15"/>
      <c r="B85" s="15"/>
      <c r="C85" s="12" t="s">
        <v>182</v>
      </c>
      <c r="D85" s="13" t="s">
        <v>12</v>
      </c>
      <c r="E85" s="13" t="s">
        <v>13</v>
      </c>
      <c r="F85" s="14" t="s">
        <v>28</v>
      </c>
      <c r="G85" s="13" t="s">
        <v>15</v>
      </c>
      <c r="H85" s="14" t="s">
        <v>40</v>
      </c>
      <c r="I85" s="12" t="s">
        <v>183</v>
      </c>
    </row>
    <row r="86" ht="22" customHeight="1" spans="1:9">
      <c r="A86" s="15"/>
      <c r="B86" s="15"/>
      <c r="C86" s="12" t="s">
        <v>184</v>
      </c>
      <c r="D86" s="13" t="s">
        <v>12</v>
      </c>
      <c r="E86" s="13" t="s">
        <v>13</v>
      </c>
      <c r="F86" s="14" t="s">
        <v>28</v>
      </c>
      <c r="G86" s="13" t="s">
        <v>15</v>
      </c>
      <c r="H86" s="14" t="s">
        <v>185</v>
      </c>
      <c r="I86" s="12" t="s">
        <v>186</v>
      </c>
    </row>
    <row r="87" ht="22" customHeight="1" spans="1:9">
      <c r="A87" s="15"/>
      <c r="B87" s="15"/>
      <c r="C87" s="12" t="s">
        <v>187</v>
      </c>
      <c r="D87" s="13" t="s">
        <v>23</v>
      </c>
      <c r="E87" s="13" t="s">
        <v>13</v>
      </c>
      <c r="F87" s="14" t="s">
        <v>28</v>
      </c>
      <c r="G87" s="13" t="s">
        <v>15</v>
      </c>
      <c r="H87" s="14" t="s">
        <v>188</v>
      </c>
      <c r="I87" s="12" t="s">
        <v>33</v>
      </c>
    </row>
    <row r="88" ht="22" customHeight="1" spans="1:9">
      <c r="A88" s="15"/>
      <c r="B88" s="15"/>
      <c r="C88" s="12" t="s">
        <v>189</v>
      </c>
      <c r="D88" s="13" t="s">
        <v>66</v>
      </c>
      <c r="E88" s="13" t="s">
        <v>13</v>
      </c>
      <c r="F88" s="14" t="s">
        <v>28</v>
      </c>
      <c r="G88" s="13" t="s">
        <v>15</v>
      </c>
      <c r="H88" s="14" t="s">
        <v>188</v>
      </c>
      <c r="I88" s="12" t="s">
        <v>33</v>
      </c>
    </row>
    <row r="89" ht="22" customHeight="1" spans="1:9">
      <c r="A89" s="15"/>
      <c r="B89" s="15"/>
      <c r="C89" s="12" t="s">
        <v>190</v>
      </c>
      <c r="D89" s="13" t="s">
        <v>12</v>
      </c>
      <c r="E89" s="13" t="s">
        <v>13</v>
      </c>
      <c r="F89" s="14" t="s">
        <v>28</v>
      </c>
      <c r="G89" s="13" t="s">
        <v>15</v>
      </c>
      <c r="H89" s="14" t="s">
        <v>28</v>
      </c>
      <c r="I89" s="12" t="s">
        <v>191</v>
      </c>
    </row>
    <row r="90" ht="22" customHeight="1" spans="1:9">
      <c r="A90" s="15"/>
      <c r="B90" s="16"/>
      <c r="C90" s="12" t="s">
        <v>192</v>
      </c>
      <c r="D90" s="13" t="s">
        <v>23</v>
      </c>
      <c r="E90" s="13" t="s">
        <v>13</v>
      </c>
      <c r="F90" s="14" t="s">
        <v>28</v>
      </c>
      <c r="G90" s="13" t="s">
        <v>46</v>
      </c>
      <c r="H90" s="14" t="s">
        <v>28</v>
      </c>
      <c r="I90" s="12" t="s">
        <v>193</v>
      </c>
    </row>
    <row r="91" ht="22" customHeight="1" spans="1:9">
      <c r="A91" s="16"/>
      <c r="B91" s="11" t="s">
        <v>194</v>
      </c>
      <c r="C91" s="12" t="s">
        <v>195</v>
      </c>
      <c r="D91" s="13" t="s">
        <v>23</v>
      </c>
      <c r="E91" s="13" t="s">
        <v>13</v>
      </c>
      <c r="F91" s="14" t="s">
        <v>28</v>
      </c>
      <c r="G91" s="13" t="s">
        <v>15</v>
      </c>
      <c r="H91" s="14" t="s">
        <v>28</v>
      </c>
      <c r="I91" s="12" t="s">
        <v>196</v>
      </c>
    </row>
    <row r="92" ht="22" customHeight="1" spans="1:9">
      <c r="A92" s="11" t="s">
        <v>197</v>
      </c>
      <c r="B92" s="11" t="s">
        <v>198</v>
      </c>
      <c r="C92" s="12" t="s">
        <v>199</v>
      </c>
      <c r="D92" s="13" t="s">
        <v>12</v>
      </c>
      <c r="E92" s="13" t="s">
        <v>13</v>
      </c>
      <c r="F92" s="14" t="s">
        <v>28</v>
      </c>
      <c r="G92" s="13" t="s">
        <v>15</v>
      </c>
      <c r="H92" s="14" t="s">
        <v>200</v>
      </c>
      <c r="I92" s="12" t="s">
        <v>33</v>
      </c>
    </row>
    <row r="93" ht="22" customHeight="1" spans="1:9">
      <c r="A93" s="15"/>
      <c r="B93" s="15"/>
      <c r="C93" s="12" t="s">
        <v>201</v>
      </c>
      <c r="D93" s="13" t="s">
        <v>12</v>
      </c>
      <c r="E93" s="13" t="s">
        <v>13</v>
      </c>
      <c r="F93" s="14" t="s">
        <v>28</v>
      </c>
      <c r="G93" s="13" t="s">
        <v>15</v>
      </c>
      <c r="H93" s="14" t="s">
        <v>163</v>
      </c>
      <c r="I93" s="12" t="s">
        <v>33</v>
      </c>
    </row>
    <row r="94" ht="22" customHeight="1" spans="1:9">
      <c r="A94" s="15"/>
      <c r="B94" s="15"/>
      <c r="C94" s="12" t="s">
        <v>202</v>
      </c>
      <c r="D94" s="13" t="s">
        <v>23</v>
      </c>
      <c r="E94" s="13" t="s">
        <v>13</v>
      </c>
      <c r="F94" s="14" t="s">
        <v>28</v>
      </c>
      <c r="G94" s="13" t="s">
        <v>15</v>
      </c>
      <c r="H94" s="14" t="s">
        <v>92</v>
      </c>
      <c r="I94" s="12" t="s">
        <v>203</v>
      </c>
    </row>
    <row r="95" ht="22" customHeight="1" spans="1:9">
      <c r="A95" s="16"/>
      <c r="B95" s="16"/>
      <c r="C95" s="12" t="s">
        <v>204</v>
      </c>
      <c r="D95" s="13" t="s">
        <v>12</v>
      </c>
      <c r="E95" s="13" t="s">
        <v>28</v>
      </c>
      <c r="F95" s="14" t="s">
        <v>28</v>
      </c>
      <c r="G95" s="13" t="s">
        <v>43</v>
      </c>
      <c r="H95" s="14" t="s">
        <v>28</v>
      </c>
      <c r="I95" s="12" t="s">
        <v>205</v>
      </c>
    </row>
  </sheetData>
  <mergeCells count="12">
    <mergeCell ref="A2:A91"/>
    <mergeCell ref="A92:A95"/>
    <mergeCell ref="B2:B17"/>
    <mergeCell ref="B18:B30"/>
    <mergeCell ref="B31:B35"/>
    <mergeCell ref="B36:B50"/>
    <mergeCell ref="B51:B59"/>
    <mergeCell ref="B60:B68"/>
    <mergeCell ref="B69:B74"/>
    <mergeCell ref="B75:B80"/>
    <mergeCell ref="B81:B90"/>
    <mergeCell ref="B92:B95"/>
  </mergeCells>
  <conditionalFormatting sqref="C2:C95">
    <cfRule type="expression" dxfId="0" priority="4">
      <formula>AND($D2="高",$G2&lt;&gt;"已完成")</formula>
    </cfRule>
  </conditionalFormatting>
  <conditionalFormatting sqref="G2:G95">
    <cfRule type="expression" dxfId="1" priority="1">
      <formula>$G2="已完成"</formula>
    </cfRule>
    <cfRule type="expression" dxfId="2" priority="2">
      <formula>$G2="进行中"</formula>
    </cfRule>
    <cfRule type="expression" dxfId="3" priority="3">
      <formula>$G2="未开始"</formula>
    </cfRule>
  </conditionalFormatting>
  <dataValidations count="2">
    <dataValidation type="list" allowBlank="1" sqref="D2:D95">
      <formula1>"高,中,低"</formula1>
    </dataValidation>
    <dataValidation type="list" allowBlank="1" error="只能填 已完成 / 进行中 / 未开始" sqref="G2:G95">
      <formula1>"已完成,进行中,未开始"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A1" sqref="A1"/>
    </sheetView>
  </sheetViews>
  <sheetFormatPr defaultColWidth="9" defaultRowHeight="14" outlineLevelCol="4"/>
  <cols>
    <col min="1" max="1" width="22" customWidth="1"/>
    <col min="2" max="5" width="10" customWidth="1"/>
  </cols>
  <sheetData>
    <row r="1" ht="20" spans="1:5">
      <c r="A1" s="1" t="s">
        <v>206</v>
      </c>
    </row>
    <row r="2" spans="1:5">
      <c r="A2" s="2" t="s">
        <v>207</v>
      </c>
    </row>
    <row r="4" ht="16.5" spans="1:5">
      <c r="A4" s="3" t="s">
        <v>6</v>
      </c>
      <c r="B4" s="3" t="s">
        <v>208</v>
      </c>
      <c r="C4" s="3" t="s">
        <v>209</v>
      </c>
    </row>
    <row r="5" ht="14.5" spans="1:5">
      <c r="A5" s="4" t="s">
        <v>15</v>
      </c>
      <c r="B5">
        <f>COUNTIF(任务清单!$G$2:$G$95,A5)</f>
        <v>71</v>
      </c>
      <c r="C5" s="5">
        <f>IF($B$8=0,0,B5/$B$8)</f>
        <v>0.75531914893617</v>
      </c>
    </row>
    <row r="6" ht="14.5" spans="1:5">
      <c r="A6" s="6" t="s">
        <v>46</v>
      </c>
      <c r="B6">
        <f>COUNTIF(任务清单!$G$2:$G$95,A6)</f>
        <v>15</v>
      </c>
      <c r="C6" s="5">
        <f>IF($B$8=0,0,B6/$B$8)</f>
        <v>0.159574468085106</v>
      </c>
    </row>
    <row r="7" ht="14.5" spans="1:5">
      <c r="A7" s="7" t="s">
        <v>43</v>
      </c>
      <c r="B7">
        <f>COUNTIF(任务清单!$G$2:$G$95,A7)</f>
        <v>8</v>
      </c>
      <c r="C7" s="5">
        <f>IF($B$8=0,0,B7/$B$8)</f>
        <v>0.0851063829787234</v>
      </c>
    </row>
    <row r="8" ht="14.5" spans="1:5">
      <c r="A8" s="8" t="s">
        <v>210</v>
      </c>
      <c r="B8">
        <f>COUNTA(任务清单!$G$2:$G$95)</f>
        <v>94</v>
      </c>
      <c r="C8" s="5">
        <v>1</v>
      </c>
    </row>
    <row r="10" ht="16.5" spans="1:5">
      <c r="A10" s="3" t="s">
        <v>1</v>
      </c>
      <c r="B10" s="3" t="s">
        <v>15</v>
      </c>
      <c r="C10" s="3" t="s">
        <v>46</v>
      </c>
      <c r="D10" s="3" t="s">
        <v>43</v>
      </c>
      <c r="E10" s="3" t="s">
        <v>211</v>
      </c>
    </row>
    <row r="11" ht="14.5" spans="1:5">
      <c r="A11" s="9" t="s">
        <v>10</v>
      </c>
      <c r="B11">
        <f>COUNTIFS(任务清单!$B$2:$B$95,$A11,任务清单!$G$2:$G$95,"已完成")</f>
        <v>1</v>
      </c>
      <c r="C11">
        <f>COUNTIFS(任务清单!$B$2:$B$95,$A11,任务清单!$G$2:$G$95,"进行中")</f>
        <v>0</v>
      </c>
      <c r="D11">
        <f>COUNTIFS(任务清单!$B$2:$B$95,$A11,任务清单!$G$2:$G$95,"未开始")</f>
        <v>0</v>
      </c>
      <c r="E11">
        <f>COUNTIF(任务清单!$B$2:$B$95,$A11)</f>
        <v>1</v>
      </c>
    </row>
    <row r="12" ht="14.5" spans="1:5">
      <c r="A12" s="9" t="s">
        <v>51</v>
      </c>
      <c r="B12">
        <f>COUNTIFS(任务清单!$B$2:$B$95,$A12,任务清单!$G$2:$G$95,"已完成")</f>
        <v>1</v>
      </c>
      <c r="C12">
        <f>COUNTIFS(任务清单!$B$2:$B$95,$A12,任务清单!$G$2:$G$95,"进行中")</f>
        <v>0</v>
      </c>
      <c r="D12">
        <f>COUNTIFS(任务清单!$B$2:$B$95,$A12,任务清单!$G$2:$G$95,"未开始")</f>
        <v>0</v>
      </c>
      <c r="E12">
        <f>COUNTIF(任务清单!$B$2:$B$95,$A12)</f>
        <v>1</v>
      </c>
    </row>
    <row r="13" ht="14.5" spans="1:5">
      <c r="A13" s="9" t="s">
        <v>76</v>
      </c>
      <c r="B13">
        <f>COUNTIFS(任务清单!$B$2:$B$95,$A13,任务清单!$G$2:$G$95,"已完成")</f>
        <v>1</v>
      </c>
      <c r="C13">
        <f>COUNTIFS(任务清单!$B$2:$B$95,$A13,任务清单!$G$2:$G$95,"进行中")</f>
        <v>0</v>
      </c>
      <c r="D13">
        <f>COUNTIFS(任务清单!$B$2:$B$95,$A13,任务清单!$G$2:$G$95,"未开始")</f>
        <v>0</v>
      </c>
      <c r="E13">
        <f>COUNTIF(任务清单!$B$2:$B$95,$A13)</f>
        <v>1</v>
      </c>
    </row>
    <row r="14" ht="14.5" spans="1:5">
      <c r="A14" s="9" t="s">
        <v>87</v>
      </c>
      <c r="B14">
        <f>COUNTIFS(任务清单!$B$2:$B$95,$A14,任务清单!$G$2:$G$95,"已完成")</f>
        <v>1</v>
      </c>
      <c r="C14">
        <f>COUNTIFS(任务清单!$B$2:$B$95,$A14,任务清单!$G$2:$G$95,"进行中")</f>
        <v>0</v>
      </c>
      <c r="D14">
        <f>COUNTIFS(任务清单!$B$2:$B$95,$A14,任务清单!$G$2:$G$95,"未开始")</f>
        <v>0</v>
      </c>
      <c r="E14">
        <f>COUNTIF(任务清单!$B$2:$B$95,$A14)</f>
        <v>1</v>
      </c>
    </row>
    <row r="15" ht="14.5" spans="1:5">
      <c r="A15" s="9" t="s">
        <v>117</v>
      </c>
      <c r="B15">
        <f>COUNTIFS(任务清单!$B$2:$B$95,$A15,任务清单!$G$2:$G$95,"已完成")</f>
        <v>0</v>
      </c>
      <c r="C15">
        <f>COUNTIFS(任务清单!$B$2:$B$95,$A15,任务清单!$G$2:$G$95,"进行中")</f>
        <v>1</v>
      </c>
      <c r="D15">
        <f>COUNTIFS(任务清单!$B$2:$B$95,$A15,任务清单!$G$2:$G$95,"未开始")</f>
        <v>0</v>
      </c>
      <c r="E15">
        <f>COUNTIF(任务清单!$B$2:$B$95,$A15)</f>
        <v>1</v>
      </c>
    </row>
    <row r="16" ht="14.5" spans="1:5">
      <c r="A16" s="9" t="s">
        <v>133</v>
      </c>
      <c r="B16">
        <f>COUNTIFS(任务清单!$B$2:$B$95,$A16,任务清单!$G$2:$G$95,"已完成")</f>
        <v>1</v>
      </c>
      <c r="C16">
        <f>COUNTIFS(任务清单!$B$2:$B$95,$A16,任务清单!$G$2:$G$95,"进行中")</f>
        <v>0</v>
      </c>
      <c r="D16">
        <f>COUNTIFS(任务清单!$B$2:$B$95,$A16,任务清单!$G$2:$G$95,"未开始")</f>
        <v>0</v>
      </c>
      <c r="E16">
        <f>COUNTIF(任务清单!$B$2:$B$95,$A16)</f>
        <v>1</v>
      </c>
    </row>
    <row r="17" ht="14.5" spans="1:5">
      <c r="A17" s="9" t="s">
        <v>151</v>
      </c>
      <c r="B17">
        <f>COUNTIFS(任务清单!$B$2:$B$95,$A17,任务清单!$G$2:$G$95,"已完成")</f>
        <v>1</v>
      </c>
      <c r="C17">
        <f>COUNTIFS(任务清单!$B$2:$B$95,$A17,任务清单!$G$2:$G$95,"进行中")</f>
        <v>0</v>
      </c>
      <c r="D17">
        <f>COUNTIFS(任务清单!$B$2:$B$95,$A17,任务清单!$G$2:$G$95,"未开始")</f>
        <v>0</v>
      </c>
      <c r="E17">
        <f>COUNTIF(任务清单!$B$2:$B$95,$A17)</f>
        <v>1</v>
      </c>
    </row>
    <row r="18" ht="14.5" spans="1:5">
      <c r="A18" s="9" t="s">
        <v>160</v>
      </c>
      <c r="B18">
        <f>COUNTIFS(任务清单!$B$2:$B$95,$A18,任务清单!$G$2:$G$95,"已完成")</f>
        <v>1</v>
      </c>
      <c r="C18">
        <f>COUNTIFS(任务清单!$B$2:$B$95,$A18,任务清单!$G$2:$G$95,"进行中")</f>
        <v>0</v>
      </c>
      <c r="D18">
        <f>COUNTIFS(任务清单!$B$2:$B$95,$A18,任务清单!$G$2:$G$95,"未开始")</f>
        <v>0</v>
      </c>
      <c r="E18">
        <f>COUNTIF(任务清单!$B$2:$B$95,$A18)</f>
        <v>1</v>
      </c>
    </row>
    <row r="19" ht="14.5" spans="1:5">
      <c r="A19" s="9" t="s">
        <v>173</v>
      </c>
      <c r="B19">
        <f>COUNTIFS(任务清单!$B$2:$B$95,$A19,任务清单!$G$2:$G$95,"已完成")</f>
        <v>1</v>
      </c>
      <c r="C19">
        <f>COUNTIFS(任务清单!$B$2:$B$95,$A19,任务清单!$G$2:$G$95,"进行中")</f>
        <v>0</v>
      </c>
      <c r="D19">
        <f>COUNTIFS(任务清单!$B$2:$B$95,$A19,任务清单!$G$2:$G$95,"未开始")</f>
        <v>0</v>
      </c>
      <c r="E19">
        <f>COUNTIF(任务清单!$B$2:$B$95,$A19)</f>
        <v>1</v>
      </c>
    </row>
    <row r="20" ht="14.5" spans="1:5">
      <c r="A20" s="9" t="s">
        <v>194</v>
      </c>
      <c r="B20">
        <f>COUNTIFS(任务清单!$B$2:$B$95,$A20,任务清单!$G$2:$G$95,"已完成")</f>
        <v>1</v>
      </c>
      <c r="C20">
        <f>COUNTIFS(任务清单!$B$2:$B$95,$A20,任务清单!$G$2:$G$95,"进行中")</f>
        <v>0</v>
      </c>
      <c r="D20">
        <f>COUNTIFS(任务清单!$B$2:$B$95,$A20,任务清单!$G$2:$G$95,"未开始")</f>
        <v>0</v>
      </c>
      <c r="E20">
        <f>COUNTIF(任务清单!$B$2:$B$95,$A20)</f>
        <v>1</v>
      </c>
    </row>
    <row r="21" ht="14.5" spans="1:5">
      <c r="A21" s="9" t="s">
        <v>198</v>
      </c>
      <c r="B21">
        <f>COUNTIFS(任务清单!$B$2:$B$95,$A21,任务清单!$G$2:$G$95,"已完成")</f>
        <v>1</v>
      </c>
      <c r="C21">
        <f>COUNTIFS(任务清单!$B$2:$B$95,$A21,任务清单!$G$2:$G$95,"进行中")</f>
        <v>0</v>
      </c>
      <c r="D21">
        <f>COUNTIFS(任务清单!$B$2:$B$95,$A21,任务清单!$G$2:$G$95,"未开始")</f>
        <v>0</v>
      </c>
      <c r="E21">
        <f>COUNTIF(任务清单!$B$2:$B$95,$A21)</f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任务清单</vt:lpstr>
      <vt:lpstr>总览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缘</cp:lastModifiedBy>
  <dcterms:created xsi:type="dcterms:W3CDTF">2026-07-23T10:17:00Z</dcterms:created>
  <dcterms:modified xsi:type="dcterms:W3CDTF">2026-08-28T01:58:24Z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26FADEBE2117475CB25BAC2930883AD2_12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