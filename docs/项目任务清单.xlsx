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清单" sheetId="1" state="visible" r:id="rId1"/>
    <sheet name="总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4"/>
    </font>
    <font>
      <name val="微软雅黑"/>
      <color rgb="00808080"/>
      <sz val="9"/>
    </font>
    <font>
      <name val="微软雅黑"/>
      <b val="1"/>
      <color rgb="00006100"/>
      <sz val="10"/>
    </font>
    <font>
      <name val="微软雅黑"/>
      <b val="1"/>
      <color rgb="009C6500"/>
      <sz val="10"/>
    </font>
    <font>
      <name val="微软雅黑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3" borderId="0" pivotButton="0" quotePrefix="0" xfId="0"/>
    <xf numFmtId="164" fontId="0" fillId="0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44" customWidth="1" min="3" max="3"/>
    <col width="8" customWidth="1" min="4" max="4"/>
    <col width="9" customWidth="1" min="5" max="5"/>
    <col width="14" customWidth="1" min="6" max="6"/>
    <col width="10" customWidth="1" min="7" max="7"/>
    <col width="14" customWidth="1" min="8" max="8"/>
    <col width="46" customWidth="1" min="9" max="9"/>
  </cols>
  <sheetData>
    <row r="1" ht="28" customHeight="1">
      <c r="A1" s="1" t="inlineStr">
        <is>
          <t>模块</t>
        </is>
      </c>
      <c r="B1" s="1" t="inlineStr">
        <is>
          <t>子模块</t>
        </is>
      </c>
      <c r="C1" s="1" t="inlineStr">
        <is>
          <t>任务名称</t>
        </is>
      </c>
      <c r="D1" s="1" t="inlineStr">
        <is>
          <t>优先级</t>
        </is>
      </c>
      <c r="E1" s="1" t="inlineStr">
        <is>
          <t>负责人</t>
        </is>
      </c>
      <c r="F1" s="1" t="inlineStr">
        <is>
          <t>计划完成时间</t>
        </is>
      </c>
      <c r="G1" s="1" t="inlineStr">
        <is>
          <t>状态</t>
        </is>
      </c>
      <c r="H1" s="1" t="inlineStr">
        <is>
          <t>实际完成时间</t>
        </is>
      </c>
      <c r="I1" s="1" t="inlineStr">
        <is>
          <t>备注</t>
        </is>
      </c>
    </row>
    <row r="2" ht="22" customHeight="1">
      <c r="A2" s="2" t="inlineStr">
        <is>
          <t>ESP32设备端</t>
        </is>
      </c>
      <c r="B2" s="2" t="inlineStr">
        <is>
          <t>音频模块</t>
        </is>
      </c>
      <c r="C2" s="3" t="inlineStr">
        <is>
          <t>自定义唤醒词</t>
        </is>
      </c>
      <c r="D2" s="4" t="inlineStr">
        <is>
          <t>高</t>
        </is>
      </c>
      <c r="E2" s="4" t="inlineStr">
        <is>
          <t>张明旭</t>
        </is>
      </c>
      <c r="F2" s="5" t="inlineStr">
        <is>
          <t>2026/4/7</t>
        </is>
      </c>
      <c r="G2" s="4" t="inlineStr">
        <is>
          <t>已完成</t>
        </is>
      </c>
      <c r="H2" s="5" t="inlineStr">
        <is>
          <t>2026/3/31</t>
        </is>
      </c>
      <c r="I2" s="3" t="inlineStr">
        <is>
          <t>原表已有</t>
        </is>
      </c>
    </row>
    <row r="3" ht="22" customHeight="1">
      <c r="A3" s="6" t="n"/>
      <c r="B3" s="6" t="n"/>
      <c r="C3" s="3" t="inlineStr">
        <is>
          <t>音频驱动</t>
        </is>
      </c>
      <c r="D3" s="4" t="inlineStr">
        <is>
          <t>高</t>
        </is>
      </c>
      <c r="E3" s="4" t="inlineStr">
        <is>
          <t>张明旭</t>
        </is>
      </c>
      <c r="F3" s="5" t="inlineStr">
        <is>
          <t>2026/4/7</t>
        </is>
      </c>
      <c r="G3" s="4" t="inlineStr">
        <is>
          <t>已完成</t>
        </is>
      </c>
      <c r="H3" s="5" t="inlineStr">
        <is>
          <t>2026/4/3</t>
        </is>
      </c>
      <c r="I3" s="3" t="inlineStr">
        <is>
          <t>原表已有</t>
        </is>
      </c>
    </row>
    <row r="4" ht="22" customHeight="1">
      <c r="A4" s="6" t="n"/>
      <c r="B4" s="6" t="n"/>
      <c r="C4" s="3" t="inlineStr">
        <is>
          <t>咪头AEC、VAD功能</t>
        </is>
      </c>
      <c r="D4" s="4" t="inlineStr">
        <is>
          <t>高</t>
        </is>
      </c>
      <c r="E4" s="4" t="inlineStr">
        <is>
          <t>张明旭</t>
        </is>
      </c>
      <c r="F4" s="5" t="inlineStr">
        <is>
          <t>2026/4/13</t>
        </is>
      </c>
      <c r="G4" s="4" t="inlineStr">
        <is>
          <t>已完成</t>
        </is>
      </c>
      <c r="H4" s="5" t="inlineStr">
        <is>
          <t>2026/4/13</t>
        </is>
      </c>
      <c r="I4" s="3" t="inlineStr">
        <is>
          <t>原表已有</t>
        </is>
      </c>
    </row>
    <row r="5" ht="22" customHeight="1">
      <c r="A5" s="6" t="n"/>
      <c r="B5" s="6" t="n"/>
      <c r="C5" s="3" t="inlineStr">
        <is>
          <t>mqtt消费及推送</t>
        </is>
      </c>
      <c r="D5" s="4" t="inlineStr">
        <is>
          <t>中</t>
        </is>
      </c>
      <c r="E5" s="4" t="inlineStr">
        <is>
          <t>张明旭</t>
        </is>
      </c>
      <c r="F5" s="5" t="inlineStr">
        <is>
          <t>2026/4/13</t>
        </is>
      </c>
      <c r="G5" s="4" t="inlineStr">
        <is>
          <t>已完成</t>
        </is>
      </c>
      <c r="H5" s="5" t="inlineStr">
        <is>
          <t>2026/4/13</t>
        </is>
      </c>
      <c r="I5" s="3" t="inlineStr">
        <is>
          <t>原表已有</t>
        </is>
      </c>
    </row>
    <row r="6" ht="22" customHeight="1">
      <c r="A6" s="6" t="n"/>
      <c r="B6" s="6" t="n"/>
      <c r="C6" s="3" t="inlineStr">
        <is>
          <t>调用云端语音对话WebSocket</t>
        </is>
      </c>
      <c r="D6" s="4" t="inlineStr">
        <is>
          <t>高</t>
        </is>
      </c>
      <c r="E6" s="4" t="inlineStr">
        <is>
          <t>张明旭</t>
        </is>
      </c>
      <c r="F6" s="5" t="inlineStr">
        <is>
          <t>2026/4/13</t>
        </is>
      </c>
      <c r="G6" s="4" t="inlineStr">
        <is>
          <t>已完成</t>
        </is>
      </c>
      <c r="H6" s="5" t="inlineStr">
        <is>
          <t>2026/4/13</t>
        </is>
      </c>
      <c r="I6" s="3" t="inlineStr">
        <is>
          <t>原表已有</t>
        </is>
      </c>
    </row>
    <row r="7" ht="22" customHeight="1">
      <c r="A7" s="6" t="n"/>
      <c r="B7" s="6" t="n"/>
      <c r="C7" s="3" t="inlineStr">
        <is>
          <t>环形缓冲区播放opus音频流</t>
        </is>
      </c>
      <c r="D7" s="4" t="inlineStr">
        <is>
          <t>高</t>
        </is>
      </c>
      <c r="E7" s="4" t="inlineStr">
        <is>
          <t>张明旭</t>
        </is>
      </c>
      <c r="F7" s="5" t="inlineStr">
        <is>
          <t>2026/4/13</t>
        </is>
      </c>
      <c r="G7" s="4" t="inlineStr">
        <is>
          <t>已完成</t>
        </is>
      </c>
      <c r="H7" s="5" t="inlineStr">
        <is>
          <t>2026/4/13</t>
        </is>
      </c>
      <c r="I7" s="3" t="inlineStr">
        <is>
          <t>原表已有</t>
        </is>
      </c>
    </row>
    <row r="8" ht="22" customHeight="1">
      <c r="A8" s="6" t="n"/>
      <c r="B8" s="6" t="n"/>
      <c r="C8" s="3" t="inlineStr">
        <is>
          <t>防止网络波动断音破片增加一个暂存缓冲</t>
        </is>
      </c>
      <c r="D8" s="4" t="inlineStr">
        <is>
          <t>高</t>
        </is>
      </c>
      <c r="E8" s="4" t="inlineStr">
        <is>
          <t>张明旭</t>
        </is>
      </c>
      <c r="F8" s="5" t="inlineStr">
        <is>
          <t>2026/4/13</t>
        </is>
      </c>
      <c r="G8" s="4" t="inlineStr">
        <is>
          <t>已完成</t>
        </is>
      </c>
      <c r="H8" s="5" t="inlineStr">
        <is>
          <t>2026/4/13</t>
        </is>
      </c>
      <c r="I8" s="3" t="inlineStr">
        <is>
          <t>原表已有</t>
        </is>
      </c>
    </row>
    <row r="9" ht="22" customHeight="1">
      <c r="A9" s="6" t="n"/>
      <c r="B9" s="6" t="n"/>
      <c r="C9" s="3" t="inlineStr">
        <is>
          <t>OPUS编码参数定型（24kbps CBR、禁用VBR）</t>
        </is>
      </c>
      <c r="D9" s="4" t="inlineStr">
        <is>
          <t>高</t>
        </is>
      </c>
      <c r="E9" s="4" t="inlineStr">
        <is>
          <t>张明旭</t>
        </is>
      </c>
      <c r="F9" s="5" t="inlineStr"/>
      <c r="G9" s="4" t="inlineStr">
        <is>
          <t>已完成</t>
        </is>
      </c>
      <c r="H9" s="5" t="inlineStr">
        <is>
          <t>2026/5/20</t>
        </is>
      </c>
      <c r="I9" s="3" t="inlineStr">
        <is>
          <t>补录·DEC-001</t>
        </is>
      </c>
    </row>
    <row r="10" ht="22" customHeight="1">
      <c r="A10" s="6" t="n"/>
      <c r="B10" s="6" t="n"/>
      <c r="C10" s="3" t="inlineStr">
        <is>
          <t>音频处理器静音接口（防TTS打断重播）</t>
        </is>
      </c>
      <c r="D10" s="4" t="inlineStr">
        <is>
          <t>中</t>
        </is>
      </c>
      <c r="E10" s="4" t="inlineStr">
        <is>
          <t>张明旭</t>
        </is>
      </c>
      <c r="F10" s="5" t="inlineStr"/>
      <c r="G10" s="4" t="inlineStr">
        <is>
          <t>已完成</t>
        </is>
      </c>
      <c r="H10" s="5" t="inlineStr">
        <is>
          <t>2026/5/25</t>
        </is>
      </c>
      <c r="I10" s="3" t="inlineStr">
        <is>
          <t>补录</t>
        </is>
      </c>
    </row>
    <row r="11" ht="22" customHeight="1">
      <c r="A11" s="6" t="n"/>
      <c r="B11" s="6" t="n"/>
      <c r="C11" s="3" t="inlineStr">
        <is>
          <t>扬声器音量接口+NVS持久化+MQTT远程调音量</t>
        </is>
      </c>
      <c r="D11" s="4" t="inlineStr">
        <is>
          <t>中</t>
        </is>
      </c>
      <c r="E11" s="4" t="inlineStr">
        <is>
          <t>张明旭</t>
        </is>
      </c>
      <c r="F11" s="5" t="inlineStr"/>
      <c r="G11" s="4" t="inlineStr">
        <is>
          <t>已完成</t>
        </is>
      </c>
      <c r="H11" s="5" t="inlineStr">
        <is>
          <t>2026/6/1</t>
        </is>
      </c>
      <c r="I11" s="3" t="inlineStr">
        <is>
          <t>补录</t>
        </is>
      </c>
    </row>
    <row r="12" ht="22" customHeight="1">
      <c r="A12" s="6" t="n"/>
      <c r="B12" s="6" t="n"/>
      <c r="C12" s="3" t="inlineStr">
        <is>
          <t>长句TTS丢帧/溢出优化（解码输入缓冲扩到32KB+限频告警）</t>
        </is>
      </c>
      <c r="D12" s="4" t="inlineStr">
        <is>
          <t>高</t>
        </is>
      </c>
      <c r="E12" s="4" t="inlineStr">
        <is>
          <t>张明旭</t>
        </is>
      </c>
      <c r="F12" s="5" t="inlineStr"/>
      <c r="G12" s="4" t="inlineStr">
        <is>
          <t>已完成</t>
        </is>
      </c>
      <c r="H12" s="5" t="inlineStr">
        <is>
          <t>2026/7/2</t>
        </is>
      </c>
      <c r="I12" s="3" t="inlineStr">
        <is>
          <t>补录</t>
        </is>
      </c>
    </row>
    <row r="13" ht="22" customHeight="1">
      <c r="A13" s="6" t="n"/>
      <c r="B13" s="6" t="n"/>
      <c r="C13" s="3" t="inlineStr">
        <is>
          <t>TTS期唤醒打断阈值调优（0.18→0.3 降AEC残留误触）</t>
        </is>
      </c>
      <c r="D13" s="4" t="inlineStr">
        <is>
          <t>中</t>
        </is>
      </c>
      <c r="E13" s="4" t="inlineStr">
        <is>
          <t>张明旭</t>
        </is>
      </c>
      <c r="F13" s="5" t="inlineStr"/>
      <c r="G13" s="4" t="inlineStr">
        <is>
          <t>已完成</t>
        </is>
      </c>
      <c r="H13" s="5" t="inlineStr">
        <is>
          <t>2026/7/2</t>
        </is>
      </c>
      <c r="I13" s="3" t="inlineStr">
        <is>
          <t>补录</t>
        </is>
      </c>
    </row>
    <row r="14" ht="22" customHeight="1">
      <c r="A14" s="6" t="n"/>
      <c r="B14" s="6" t="n"/>
      <c r="C14" s="3" t="inlineStr">
        <is>
          <t>ES8311上电爆音—软件软启动方案</t>
        </is>
      </c>
      <c r="D14" s="4" t="inlineStr">
        <is>
          <t>中</t>
        </is>
      </c>
      <c r="E14" s="4" t="inlineStr">
        <is>
          <t>张明旭</t>
        </is>
      </c>
      <c r="F14" s="5" t="inlineStr"/>
      <c r="G14" s="4" t="inlineStr">
        <is>
          <t>已完成</t>
        </is>
      </c>
      <c r="H14" s="5" t="inlineStr">
        <is>
          <t>2026/6/15</t>
        </is>
      </c>
      <c r="I14" s="3" t="inlineStr">
        <is>
          <t>补录·实测无效（VMID模拟瞬态）</t>
        </is>
      </c>
    </row>
    <row r="15" ht="22" customHeight="1">
      <c r="A15" s="6" t="n"/>
      <c r="B15" s="6" t="n"/>
      <c r="C15" s="3" t="inlineStr">
        <is>
          <t>ES8311上电爆音—NMOS延时开关硬件方案</t>
        </is>
      </c>
      <c r="D15" s="4" t="inlineStr">
        <is>
          <t>中</t>
        </is>
      </c>
      <c r="E15" s="4" t="inlineStr">
        <is>
          <t>张明旭</t>
        </is>
      </c>
      <c r="F15" s="5" t="inlineStr"/>
      <c r="G15" s="4" t="inlineStr">
        <is>
          <t>未开始</t>
        </is>
      </c>
      <c r="H15" s="5" t="inlineStr"/>
      <c r="I15" s="3" t="inlineStr">
        <is>
          <t>需改板：2N7002压CTRL，C_g 10uF+R_g 470k≈3.4s</t>
        </is>
      </c>
    </row>
    <row r="16" ht="22" customHeight="1">
      <c r="A16" s="6" t="n"/>
      <c r="B16" s="6" t="n"/>
      <c r="C16" s="3" t="inlineStr">
        <is>
          <t>离线音频播放（MP3 + P3/OPUS 双格式）</t>
        </is>
      </c>
      <c r="D16" s="4" t="inlineStr">
        <is>
          <t>高</t>
        </is>
      </c>
      <c r="E16" s="4" t="inlineStr">
        <is>
          <t>张明旭</t>
        </is>
      </c>
      <c r="F16" s="5" t="inlineStr"/>
      <c r="G16" s="4" t="inlineStr">
        <is>
          <t>进行中</t>
        </is>
      </c>
      <c r="H16" s="5" t="inlineStr"/>
      <c r="I16" s="3" t="inlineStr">
        <is>
          <t>代码已合入2026/7/16，出声/泄漏/仲裁待烧录验证</t>
        </is>
      </c>
    </row>
    <row r="17" ht="22" customHeight="1">
      <c r="A17" s="6" t="n"/>
      <c r="B17" s="7" t="n"/>
      <c r="C17" s="3" t="inlineStr">
        <is>
          <t>多轮对话尾音误触EOS / 超时截断修复</t>
        </is>
      </c>
      <c r="D17" s="4" t="inlineStr">
        <is>
          <t>高</t>
        </is>
      </c>
      <c r="E17" s="4" t="inlineStr">
        <is>
          <t>张明旭</t>
        </is>
      </c>
      <c r="F17" s="5" t="inlineStr"/>
      <c r="G17" s="4" t="inlineStr">
        <is>
          <t>已完成</t>
        </is>
      </c>
      <c r="H17" s="5" t="inlineStr">
        <is>
          <t>2026/7/3</t>
        </is>
      </c>
      <c r="I17" s="3" t="inlineStr">
        <is>
          <t>补录·BUG-007/013/014/021</t>
        </is>
      </c>
    </row>
    <row r="18" ht="22" customHeight="1">
      <c r="A18" s="6" t="n"/>
      <c r="B18" s="2" t="inlineStr">
        <is>
          <t>初始化</t>
        </is>
      </c>
      <c r="C18" s="3" t="inlineStr">
        <is>
          <t>蓝牙连接</t>
        </is>
      </c>
      <c r="D18" s="4" t="inlineStr">
        <is>
          <t>高</t>
        </is>
      </c>
      <c r="E18" s="4" t="inlineStr">
        <is>
          <t>张明旭</t>
        </is>
      </c>
      <c r="F18" s="5" t="inlineStr">
        <is>
          <t>2026/3/16</t>
        </is>
      </c>
      <c r="G18" s="4" t="inlineStr">
        <is>
          <t>已完成</t>
        </is>
      </c>
      <c r="H18" s="5" t="inlineStr">
        <is>
          <t>2026/3/16</t>
        </is>
      </c>
      <c r="I18" s="3" t="inlineStr">
        <is>
          <t>原表已有</t>
        </is>
      </c>
    </row>
    <row r="19" ht="22" customHeight="1">
      <c r="A19" s="6" t="n"/>
      <c r="B19" s="6" t="n"/>
      <c r="C19" s="3" t="inlineStr">
        <is>
          <t>接收wifi凭证</t>
        </is>
      </c>
      <c r="D19" s="4" t="inlineStr">
        <is>
          <t>高</t>
        </is>
      </c>
      <c r="E19" s="4" t="inlineStr">
        <is>
          <t>张明旭</t>
        </is>
      </c>
      <c r="F19" s="5" t="inlineStr">
        <is>
          <t>2026/3/17</t>
        </is>
      </c>
      <c r="G19" s="4" t="inlineStr">
        <is>
          <t>已完成</t>
        </is>
      </c>
      <c r="H19" s="5" t="inlineStr">
        <is>
          <t>2026/3/17</t>
        </is>
      </c>
      <c r="I19" s="3" t="inlineStr">
        <is>
          <t>原表已有</t>
        </is>
      </c>
    </row>
    <row r="20" ht="22" customHeight="1">
      <c r="A20" s="6" t="n"/>
      <c r="B20" s="6" t="n"/>
      <c r="C20" s="3" t="inlineStr">
        <is>
          <t>设备联网</t>
        </is>
      </c>
      <c r="D20" s="4" t="inlineStr">
        <is>
          <t>高</t>
        </is>
      </c>
      <c r="E20" s="4" t="inlineStr">
        <is>
          <t>张明旭</t>
        </is>
      </c>
      <c r="F20" s="5" t="inlineStr">
        <is>
          <t>2026/3/17</t>
        </is>
      </c>
      <c r="G20" s="4" t="inlineStr">
        <is>
          <t>已完成</t>
        </is>
      </c>
      <c r="H20" s="5" t="inlineStr">
        <is>
          <t>2026/3/17</t>
        </is>
      </c>
      <c r="I20" s="3" t="inlineStr">
        <is>
          <t>原表已有</t>
        </is>
      </c>
    </row>
    <row r="21" ht="22" customHeight="1">
      <c r="A21" s="6" t="n"/>
      <c r="B21" s="6" t="n"/>
      <c r="C21" s="3" t="inlineStr">
        <is>
          <t>获取token</t>
        </is>
      </c>
      <c r="D21" s="4" t="inlineStr">
        <is>
          <t>高</t>
        </is>
      </c>
      <c r="E21" s="4" t="inlineStr">
        <is>
          <t>张明旭</t>
        </is>
      </c>
      <c r="F21" s="5" t="inlineStr">
        <is>
          <t>2026/4/10</t>
        </is>
      </c>
      <c r="G21" s="4" t="inlineStr">
        <is>
          <t>已完成</t>
        </is>
      </c>
      <c r="H21" s="5" t="inlineStr">
        <is>
          <t>2026/4/10</t>
        </is>
      </c>
      <c r="I21" s="3" t="inlineStr">
        <is>
          <t>原表已有</t>
        </is>
      </c>
    </row>
    <row r="22" ht="22" customHeight="1">
      <c r="A22" s="6" t="n"/>
      <c r="B22" s="6" t="n"/>
      <c r="C22" s="3" t="inlineStr">
        <is>
          <t>Token双重刷新机制（2h过期，主动+被动）</t>
        </is>
      </c>
      <c r="D22" s="4" t="inlineStr">
        <is>
          <t>高</t>
        </is>
      </c>
      <c r="E22" s="4" t="inlineStr">
        <is>
          <t>张明旭</t>
        </is>
      </c>
      <c r="F22" s="5" t="inlineStr"/>
      <c r="G22" s="4" t="inlineStr">
        <is>
          <t>已完成</t>
        </is>
      </c>
      <c r="H22" s="5" t="inlineStr">
        <is>
          <t>2026/4/10</t>
        </is>
      </c>
      <c r="I22" s="3" t="inlineStr">
        <is>
          <t>补录·DEC-003</t>
        </is>
      </c>
    </row>
    <row r="23" ht="22" customHeight="1">
      <c r="A23" s="6" t="n"/>
      <c r="B23" s="6" t="n"/>
      <c r="C23" s="3" t="inlineStr">
        <is>
          <t>配网协议迁移 Unified Provisioning → BluFi（NimBLE）</t>
        </is>
      </c>
      <c r="D23" s="4" t="inlineStr">
        <is>
          <t>高</t>
        </is>
      </c>
      <c r="E23" s="4" t="inlineStr">
        <is>
          <t>张明旭</t>
        </is>
      </c>
      <c r="F23" s="5" t="inlineStr"/>
      <c r="G23" s="4" t="inlineStr">
        <is>
          <t>已完成</t>
        </is>
      </c>
      <c r="H23" s="5" t="inlineStr">
        <is>
          <t>2026/6/22</t>
        </is>
      </c>
      <c r="I23" s="3" t="inlineStr">
        <is>
          <t>补录</t>
        </is>
      </c>
    </row>
    <row r="24" ht="22" customHeight="1">
      <c r="A24" s="6" t="n"/>
      <c r="B24" s="6" t="n"/>
      <c r="C24" s="3" t="inlineStr">
        <is>
          <t>动态蓝牙设备名（MAC派生 EchoPals-XXXXXX）</t>
        </is>
      </c>
      <c r="D24" s="4" t="inlineStr">
        <is>
          <t>中</t>
        </is>
      </c>
      <c r="E24" s="4" t="inlineStr">
        <is>
          <t>张明旭</t>
        </is>
      </c>
      <c r="F24" s="5" t="inlineStr"/>
      <c r="G24" s="4" t="inlineStr">
        <is>
          <t>已完成</t>
        </is>
      </c>
      <c r="H24" s="5" t="inlineStr">
        <is>
          <t>2026/6/23</t>
        </is>
      </c>
      <c r="I24" s="3" t="inlineStr">
        <is>
          <t>补录</t>
        </is>
      </c>
    </row>
    <row r="25" ht="22" customHeight="1">
      <c r="A25" s="6" t="n"/>
      <c r="B25" s="6" t="n"/>
      <c r="C25" s="3" t="inlineStr">
        <is>
          <t>裸板模式编译裁剪（CONFIG_BSP_HAS_DISPLAY）</t>
        </is>
      </c>
      <c r="D25" s="4" t="inlineStr">
        <is>
          <t>低</t>
        </is>
      </c>
      <c r="E25" s="4" t="inlineStr">
        <is>
          <t>张明旭</t>
        </is>
      </c>
      <c r="F25" s="5" t="inlineStr"/>
      <c r="G25" s="4" t="inlineStr">
        <is>
          <t>已完成</t>
        </is>
      </c>
      <c r="H25" s="5" t="inlineStr">
        <is>
          <t>2026/6/23</t>
        </is>
      </c>
      <c r="I25" s="3" t="inlineStr">
        <is>
          <t>补录</t>
        </is>
      </c>
    </row>
    <row r="26" ht="22" customHeight="1">
      <c r="A26" s="6" t="n"/>
      <c r="B26" s="6" t="n"/>
      <c r="C26" s="3" t="inlineStr">
        <is>
          <t>BluFi CustomData下发token</t>
        </is>
      </c>
      <c r="D26" s="4" t="inlineStr">
        <is>
          <t>高</t>
        </is>
      </c>
      <c r="E26" s="4" t="inlineStr">
        <is>
          <t>张明旭</t>
        </is>
      </c>
      <c r="F26" s="5" t="inlineStr"/>
      <c r="G26" s="4" t="inlineStr">
        <is>
          <t>进行中</t>
        </is>
      </c>
      <c r="H26" s="5" t="inlineStr"/>
      <c r="I26" s="3" t="inlineStr">
        <is>
          <t>配网联网+下发已通，卡在deviceToken缺失待后端</t>
        </is>
      </c>
    </row>
    <row r="27" ht="22" customHeight="1">
      <c r="A27" s="6" t="n"/>
      <c r="B27" s="6" t="n"/>
      <c r="C27" s="3" t="inlineStr">
        <is>
          <t>配网二维码显示</t>
        </is>
      </c>
      <c r="D27" s="4" t="inlineStr">
        <is>
          <t>中</t>
        </is>
      </c>
      <c r="E27" s="4" t="inlineStr">
        <is>
          <t>张明旭</t>
        </is>
      </c>
      <c r="F27" s="5" t="inlineStr"/>
      <c r="G27" s="4" t="inlineStr">
        <is>
          <t>进行中</t>
        </is>
      </c>
      <c r="H27" s="5" t="inlineStr"/>
      <c r="I27" s="3" t="inlineStr">
        <is>
          <t>BUG-029双根因已修，待烧录验证</t>
        </is>
      </c>
    </row>
    <row r="28" ht="22" customHeight="1">
      <c r="A28" s="6" t="n"/>
      <c r="B28" s="6" t="n"/>
      <c r="C28" s="3" t="inlineStr">
        <is>
          <t>按键长按重置WiFi</t>
        </is>
      </c>
      <c r="D28" s="4" t="inlineStr">
        <is>
          <t>高</t>
        </is>
      </c>
      <c r="E28" s="4" t="inlineStr">
        <is>
          <t>张明旭</t>
        </is>
      </c>
      <c r="F28" s="5" t="inlineStr"/>
      <c r="G28" s="4" t="inlineStr">
        <is>
          <t>进行中</t>
        </is>
      </c>
      <c r="H28" s="5" t="inlineStr"/>
      <c r="I28" s="3" t="inlineStr">
        <is>
          <t>BUG-030 LVGL未init断言崩，已定位待改</t>
        </is>
      </c>
    </row>
    <row r="29" ht="22" customHeight="1">
      <c r="A29" s="6" t="n"/>
      <c r="B29" s="6" t="n"/>
      <c r="C29" s="3" t="inlineStr">
        <is>
          <t>BluFi分支BLE初始化崩溃排查</t>
        </is>
      </c>
      <c r="D29" s="4" t="inlineStr">
        <is>
          <t>高</t>
        </is>
      </c>
      <c r="E29" s="4" t="inlineStr">
        <is>
          <t>张明旭</t>
        </is>
      </c>
      <c r="F29" s="5" t="inlineStr"/>
      <c r="G29" s="4" t="inlineStr">
        <is>
          <t>进行中</t>
        </is>
      </c>
      <c r="H29" s="5" t="inlineStr"/>
      <c r="I29" s="3" t="inlineStr">
        <is>
          <t>BUG-026 已加esp_intr_dump诊断待烧录</t>
        </is>
      </c>
    </row>
    <row r="30" ht="22" customHeight="1">
      <c r="A30" s="6" t="n"/>
      <c r="B30" s="7" t="n"/>
      <c r="C30" s="3" t="inlineStr">
        <is>
          <t>前端配网对接说明文档</t>
        </is>
      </c>
      <c r="D30" s="4" t="inlineStr">
        <is>
          <t>低</t>
        </is>
      </c>
      <c r="E30" s="4" t="inlineStr">
        <is>
          <t>张明旭</t>
        </is>
      </c>
      <c r="F30" s="5" t="inlineStr"/>
      <c r="G30" s="4" t="inlineStr">
        <is>
          <t>已完成</t>
        </is>
      </c>
      <c r="H30" s="5" t="inlineStr">
        <is>
          <t>2026/7/2</t>
        </is>
      </c>
      <c r="I30" s="3" t="inlineStr">
        <is>
          <t>补录</t>
        </is>
      </c>
    </row>
    <row r="31" ht="22" customHeight="1">
      <c r="A31" s="6" t="n"/>
      <c r="B31" s="2" t="inlineStr">
        <is>
          <t>备份升级</t>
        </is>
      </c>
      <c r="C31" s="3" t="inlineStr">
        <is>
          <t>OTA</t>
        </is>
      </c>
      <c r="D31" s="4" t="inlineStr">
        <is>
          <t>高</t>
        </is>
      </c>
      <c r="E31" s="4" t="inlineStr">
        <is>
          <t>张明旭</t>
        </is>
      </c>
      <c r="F31" s="5" t="inlineStr">
        <is>
          <t>2026/6/</t>
        </is>
      </c>
      <c r="G31" s="4" t="inlineStr">
        <is>
          <t>已完成</t>
        </is>
      </c>
      <c r="H31" s="5" t="inlineStr"/>
      <c r="I31" s="3" t="inlineStr">
        <is>
          <t>原表已有</t>
        </is>
      </c>
    </row>
    <row r="32" ht="22" customHeight="1">
      <c r="A32" s="6" t="n"/>
      <c r="B32" s="6" t="n"/>
      <c r="C32" s="3" t="inlineStr">
        <is>
          <t>OTA进度回调+SHA256校验+重启后补发</t>
        </is>
      </c>
      <c r="D32" s="4" t="inlineStr">
        <is>
          <t>高</t>
        </is>
      </c>
      <c r="E32" s="4" t="inlineStr">
        <is>
          <t>张明旭</t>
        </is>
      </c>
      <c r="F32" s="5" t="inlineStr"/>
      <c r="G32" s="4" t="inlineStr">
        <is>
          <t>已完成</t>
        </is>
      </c>
      <c r="H32" s="5" t="inlineStr">
        <is>
          <t>2026/6/17</t>
        </is>
      </c>
      <c r="I32" s="3" t="inlineStr">
        <is>
          <t>补录</t>
        </is>
      </c>
    </row>
    <row r="33" ht="22" customHeight="1">
      <c r="A33" s="6" t="n"/>
      <c r="B33" s="6" t="n"/>
      <c r="C33" s="3" t="inlineStr">
        <is>
          <t>OTA推送+云端连通性探测工具</t>
        </is>
      </c>
      <c r="D33" s="4" t="inlineStr">
        <is>
          <t>中</t>
        </is>
      </c>
      <c r="E33" s="4" t="inlineStr">
        <is>
          <t>张明旭</t>
        </is>
      </c>
      <c r="F33" s="5" t="inlineStr"/>
      <c r="G33" s="4" t="inlineStr">
        <is>
          <t>已完成</t>
        </is>
      </c>
      <c r="H33" s="5" t="inlineStr">
        <is>
          <t>2026/7/7</t>
        </is>
      </c>
      <c r="I33" s="3" t="inlineStr">
        <is>
          <t>补录</t>
        </is>
      </c>
    </row>
    <row r="34" ht="22" customHeight="1">
      <c r="A34" s="6" t="n"/>
      <c r="B34" s="6" t="n"/>
      <c r="C34" s="3" t="inlineStr">
        <is>
          <t>OTA前停唤醒词/触摸扫描（防并发崩）</t>
        </is>
      </c>
      <c r="D34" s="4" t="inlineStr">
        <is>
          <t>高</t>
        </is>
      </c>
      <c r="E34" s="4" t="inlineStr">
        <is>
          <t>张明旭</t>
        </is>
      </c>
      <c r="F34" s="5" t="inlineStr"/>
      <c r="G34" s="4" t="inlineStr">
        <is>
          <t>已完成</t>
        </is>
      </c>
      <c r="H34" s="5" t="inlineStr">
        <is>
          <t>2026/7/20</t>
        </is>
      </c>
      <c r="I34" s="3" t="inlineStr">
        <is>
          <t>补录</t>
        </is>
      </c>
    </row>
    <row r="35" ht="22" customHeight="1">
      <c r="A35" s="6" t="n"/>
      <c r="B35" s="7" t="n"/>
      <c r="C35" s="3" t="inlineStr">
        <is>
          <t>app分区容量告急（仅剩2%）</t>
        </is>
      </c>
      <c r="D35" s="4" t="inlineStr">
        <is>
          <t>高</t>
        </is>
      </c>
      <c r="E35" s="4" t="inlineStr">
        <is>
          <t>张明旭</t>
        </is>
      </c>
      <c r="F35" s="5" t="inlineStr"/>
      <c r="G35" s="4" t="inlineStr">
        <is>
          <t>未开始</t>
        </is>
      </c>
      <c r="H35" s="5" t="inlineStr"/>
      <c r="I35" s="3" t="inlineStr">
        <is>
          <t>需重划分区表或裁剪固件</t>
        </is>
      </c>
    </row>
    <row r="36" ht="22" customHeight="1">
      <c r="A36" s="6" t="n"/>
      <c r="B36" s="2" t="inlineStr">
        <is>
          <t>屏幕模块</t>
        </is>
      </c>
      <c r="C36" s="3" t="inlineStr">
        <is>
          <t>屏幕驱动</t>
        </is>
      </c>
      <c r="D36" s="4" t="inlineStr">
        <is>
          <t>高</t>
        </is>
      </c>
      <c r="E36" s="4" t="inlineStr">
        <is>
          <t>张明旭</t>
        </is>
      </c>
      <c r="F36" s="5" t="inlineStr">
        <is>
          <t>2026/4/12</t>
        </is>
      </c>
      <c r="G36" s="4" t="inlineStr">
        <is>
          <t>已完成</t>
        </is>
      </c>
      <c r="H36" s="5" t="inlineStr">
        <is>
          <t>2026/4/12</t>
        </is>
      </c>
      <c r="I36" s="3" t="inlineStr">
        <is>
          <t>原表已有</t>
        </is>
      </c>
    </row>
    <row r="37" ht="22" customHeight="1">
      <c r="A37" s="6" t="n"/>
      <c r="B37" s="6" t="n"/>
      <c r="C37" s="3" t="inlineStr">
        <is>
          <t>显示天气</t>
        </is>
      </c>
      <c r="D37" s="4" t="inlineStr">
        <is>
          <t>中</t>
        </is>
      </c>
      <c r="E37" s="4" t="inlineStr">
        <is>
          <t>张明旭</t>
        </is>
      </c>
      <c r="F37" s="5" t="inlineStr">
        <is>
          <t>2026/5/8</t>
        </is>
      </c>
      <c r="G37" s="4" t="inlineStr">
        <is>
          <t>已完成</t>
        </is>
      </c>
      <c r="H37" s="5" t="inlineStr">
        <is>
          <t>2026/5/6</t>
        </is>
      </c>
      <c r="I37" s="3" t="inlineStr">
        <is>
          <t>原表已有</t>
        </is>
      </c>
    </row>
    <row r="38" ht="22" customHeight="1">
      <c r="A38" s="6" t="n"/>
      <c r="B38" s="6" t="n"/>
      <c r="C38" s="3" t="inlineStr">
        <is>
          <t>显示日历</t>
        </is>
      </c>
      <c r="D38" s="4" t="inlineStr">
        <is>
          <t>中</t>
        </is>
      </c>
      <c r="E38" s="4" t="inlineStr">
        <is>
          <t>张明旭</t>
        </is>
      </c>
      <c r="F38" s="5" t="inlineStr">
        <is>
          <t>2026/5/8</t>
        </is>
      </c>
      <c r="G38" s="4" t="inlineStr">
        <is>
          <t>已完成</t>
        </is>
      </c>
      <c r="H38" s="5" t="inlineStr">
        <is>
          <t>2026/5/7</t>
        </is>
      </c>
      <c r="I38" s="3" t="inlineStr">
        <is>
          <t>原表已有</t>
        </is>
      </c>
    </row>
    <row r="39" ht="22" customHeight="1">
      <c r="A39" s="6" t="n"/>
      <c r="B39" s="6" t="n"/>
      <c r="C39" s="3" t="inlineStr">
        <is>
          <t>显示时间</t>
        </is>
      </c>
      <c r="D39" s="4" t="inlineStr">
        <is>
          <t>中</t>
        </is>
      </c>
      <c r="E39" s="4" t="inlineStr">
        <is>
          <t>张明旭</t>
        </is>
      </c>
      <c r="F39" s="5" t="inlineStr">
        <is>
          <t>2026/4/30</t>
        </is>
      </c>
      <c r="G39" s="4" t="inlineStr">
        <is>
          <t>已完成</t>
        </is>
      </c>
      <c r="H39" s="5" t="inlineStr">
        <is>
          <t>2026/5/2</t>
        </is>
      </c>
      <c r="I39" s="3" t="inlineStr">
        <is>
          <t>原表已有</t>
        </is>
      </c>
    </row>
    <row r="40" ht="22" customHeight="1">
      <c r="A40" s="6" t="n"/>
      <c r="B40" s="6" t="n"/>
      <c r="C40" s="3" t="inlineStr">
        <is>
          <t>闹钟提醒</t>
        </is>
      </c>
      <c r="D40" s="4" t="inlineStr">
        <is>
          <t>中</t>
        </is>
      </c>
      <c r="E40" s="4" t="inlineStr">
        <is>
          <t>张明旭</t>
        </is>
      </c>
      <c r="F40" s="5" t="inlineStr">
        <is>
          <t>2026/4/30</t>
        </is>
      </c>
      <c r="G40" s="4" t="inlineStr">
        <is>
          <t>已完成</t>
        </is>
      </c>
      <c r="H40" s="5" t="inlineStr">
        <is>
          <t>2026/5/2</t>
        </is>
      </c>
      <c r="I40" s="3" t="inlineStr">
        <is>
          <t>原表已有</t>
        </is>
      </c>
    </row>
    <row r="41" ht="22" customHeight="1">
      <c r="A41" s="6" t="n"/>
      <c r="B41" s="6" t="n"/>
      <c r="C41" s="3" t="inlineStr">
        <is>
          <t>倒计时</t>
        </is>
      </c>
      <c r="D41" s="4" t="inlineStr">
        <is>
          <t>中</t>
        </is>
      </c>
      <c r="E41" s="4" t="inlineStr">
        <is>
          <t>张明旭</t>
        </is>
      </c>
      <c r="F41" s="5" t="inlineStr">
        <is>
          <t>2026/5/8</t>
        </is>
      </c>
      <c r="G41" s="4" t="inlineStr">
        <is>
          <t>已完成</t>
        </is>
      </c>
      <c r="H41" s="5" t="inlineStr">
        <is>
          <t>2026/5/3</t>
        </is>
      </c>
      <c r="I41" s="3" t="inlineStr">
        <is>
          <t>原表已有</t>
        </is>
      </c>
    </row>
    <row r="42" ht="22" customHeight="1">
      <c r="A42" s="6" t="n"/>
      <c r="B42" s="6" t="n"/>
      <c r="C42" s="3" t="inlineStr">
        <is>
          <t>UI组件</t>
        </is>
      </c>
      <c r="D42" s="4" t="inlineStr">
        <is>
          <t>低</t>
        </is>
      </c>
      <c r="E42" s="4" t="inlineStr">
        <is>
          <t>张明旭</t>
        </is>
      </c>
      <c r="F42" s="5" t="inlineStr">
        <is>
          <t>2026/5/15</t>
        </is>
      </c>
      <c r="G42" s="4" t="inlineStr">
        <is>
          <t>未开始</t>
        </is>
      </c>
      <c r="H42" s="5" t="inlineStr"/>
      <c r="I42" s="3" t="inlineStr">
        <is>
          <t>原表已有</t>
        </is>
      </c>
    </row>
    <row r="43" ht="22" customHeight="1">
      <c r="A43" s="6" t="n"/>
      <c r="B43" s="6" t="n"/>
      <c r="C43" s="3" t="inlineStr">
        <is>
          <t>LCD背光GPIO开关升级为LEDC PWM调光</t>
        </is>
      </c>
      <c r="D43" s="4" t="inlineStr">
        <is>
          <t>中</t>
        </is>
      </c>
      <c r="E43" s="4" t="inlineStr">
        <is>
          <t>张明旭</t>
        </is>
      </c>
      <c r="F43" s="5" t="inlineStr"/>
      <c r="G43" s="4" t="inlineStr">
        <is>
          <t>已完成</t>
        </is>
      </c>
      <c r="H43" s="5" t="inlineStr">
        <is>
          <t>2026/6/2</t>
        </is>
      </c>
      <c r="I43" s="3" t="inlineStr">
        <is>
          <t>补录</t>
        </is>
      </c>
    </row>
    <row r="44" ht="22" customHeight="1">
      <c r="A44" s="6" t="n"/>
      <c r="B44" s="6" t="n"/>
      <c r="C44" s="3" t="inlineStr">
        <is>
          <t>状态栏（WiFi信号+电池电量）</t>
        </is>
      </c>
      <c r="D44" s="4" t="inlineStr">
        <is>
          <t>中</t>
        </is>
      </c>
      <c r="E44" s="4" t="inlineStr">
        <is>
          <t>张明旭</t>
        </is>
      </c>
      <c r="F44" s="5" t="inlineStr"/>
      <c r="G44" s="4" t="inlineStr">
        <is>
          <t>已完成</t>
        </is>
      </c>
      <c r="H44" s="5" t="inlineStr">
        <is>
          <t>2026/6/2</t>
        </is>
      </c>
      <c r="I44" s="3" t="inlineStr">
        <is>
          <t>补录</t>
        </is>
      </c>
    </row>
    <row r="45" ht="22" customHeight="1">
      <c r="A45" s="6" t="n"/>
      <c r="B45" s="6" t="n"/>
      <c r="C45" s="3" t="inlineStr">
        <is>
          <t>中文字体子集（font_cn_16 / font_cn_32）</t>
        </is>
      </c>
      <c r="D45" s="4" t="inlineStr">
        <is>
          <t>中</t>
        </is>
      </c>
      <c r="E45" s="4" t="inlineStr">
        <is>
          <t>张明旭</t>
        </is>
      </c>
      <c r="F45" s="5" t="inlineStr"/>
      <c r="G45" s="4" t="inlineStr">
        <is>
          <t>已完成</t>
        </is>
      </c>
      <c r="H45" s="5" t="inlineStr">
        <is>
          <t>2026/6/22</t>
        </is>
      </c>
      <c r="I45" s="3" t="inlineStr">
        <is>
          <t>补录·含字符提取工具</t>
        </is>
      </c>
    </row>
    <row r="46" ht="22" customHeight="1">
      <c r="A46" s="6" t="n"/>
      <c r="B46" s="6" t="n"/>
      <c r="C46" s="3" t="inlineStr">
        <is>
          <t>功能菜单/主页层级导航</t>
        </is>
      </c>
      <c r="D46" s="4" t="inlineStr">
        <is>
          <t>中</t>
        </is>
      </c>
      <c r="E46" s="4" t="inlineStr">
        <is>
          <t>张明旭</t>
        </is>
      </c>
      <c r="F46" s="5" t="inlineStr"/>
      <c r="G46" s="4" t="inlineStr">
        <is>
          <t>已完成</t>
        </is>
      </c>
      <c r="H46" s="5" t="inlineStr">
        <is>
          <t>2026/6/22</t>
        </is>
      </c>
      <c r="I46" s="3" t="inlineStr">
        <is>
          <t>补录</t>
        </is>
      </c>
    </row>
    <row r="47" ht="22" customHeight="1">
      <c r="A47" s="6" t="n"/>
      <c r="B47" s="6" t="n"/>
      <c r="C47" s="3" t="inlineStr">
        <is>
          <t>GIF情绪动画播放+跨线程切图接口</t>
        </is>
      </c>
      <c r="D47" s="4" t="inlineStr">
        <is>
          <t>高</t>
        </is>
      </c>
      <c r="E47" s="4" t="inlineStr">
        <is>
          <t>张明旭</t>
        </is>
      </c>
      <c r="F47" s="5" t="inlineStr"/>
      <c r="G47" s="4" t="inlineStr">
        <is>
          <t>已完成</t>
        </is>
      </c>
      <c r="H47" s="5" t="inlineStr">
        <is>
          <t>2026/7/2</t>
        </is>
      </c>
      <c r="I47" s="3" t="inlineStr">
        <is>
          <t>补录·ui_request_emotion_gif</t>
        </is>
      </c>
    </row>
    <row r="48" ht="22" customHeight="1">
      <c r="A48" s="6" t="n"/>
      <c r="B48" s="6" t="n"/>
      <c r="C48" s="3" t="inlineStr">
        <is>
          <t>二维码控件启用（LV_USE_QRCODE）</t>
        </is>
      </c>
      <c r="D48" s="4" t="inlineStr">
        <is>
          <t>中</t>
        </is>
      </c>
      <c r="E48" s="4" t="inlineStr">
        <is>
          <t>张明旭</t>
        </is>
      </c>
      <c r="F48" s="5" t="inlineStr"/>
      <c r="G48" s="4" t="inlineStr">
        <is>
          <t>已完成</t>
        </is>
      </c>
      <c r="H48" s="5" t="inlineStr">
        <is>
          <t>2026/6/24</t>
        </is>
      </c>
      <c r="I48" s="3" t="inlineStr">
        <is>
          <t>补录</t>
        </is>
      </c>
    </row>
    <row r="49" ht="22" customHeight="1">
      <c r="A49" s="6" t="n"/>
      <c r="B49" s="6" t="n"/>
      <c r="C49" s="3" t="inlineStr">
        <is>
          <t>天气页扩展（体感/风/湿度/降水+6-label新版式）</t>
        </is>
      </c>
      <c r="D49" s="4" t="inlineStr">
        <is>
          <t>中</t>
        </is>
      </c>
      <c r="E49" s="4" t="inlineStr">
        <is>
          <t>张明旭</t>
        </is>
      </c>
      <c r="F49" s="5" t="inlineStr"/>
      <c r="G49" s="4" t="inlineStr">
        <is>
          <t>进行中</t>
        </is>
      </c>
      <c r="H49" s="5" t="inlineStr"/>
      <c r="I49" s="3" t="inlineStr">
        <is>
          <t>未编译未烧录</t>
        </is>
      </c>
    </row>
    <row r="50" ht="22" customHeight="1">
      <c r="A50" s="6" t="n"/>
      <c r="B50" s="7" t="n"/>
      <c r="C50" s="3" t="inlineStr">
        <is>
          <t>开机logo解码器重入卡死修复</t>
        </is>
      </c>
      <c r="D50" s="4" t="inlineStr">
        <is>
          <t>高</t>
        </is>
      </c>
      <c r="E50" s="4" t="inlineStr">
        <is>
          <t>张明旭</t>
        </is>
      </c>
      <c r="F50" s="5" t="inlineStr"/>
      <c r="G50" s="4" t="inlineStr">
        <is>
          <t>进行中</t>
        </is>
      </c>
      <c r="H50" s="5" t="inlineStr"/>
      <c r="I50" s="3" t="inlineStr">
        <is>
          <t>BUG-032 已改pending+timer，未提交未烧录</t>
        </is>
      </c>
    </row>
    <row r="51" ht="22" customHeight="1">
      <c r="A51" s="6" t="n"/>
      <c r="B51" s="2" t="inlineStr">
        <is>
          <t>游戏模块</t>
        </is>
      </c>
      <c r="C51" s="3" t="inlineStr">
        <is>
          <t>砸地鼠</t>
        </is>
      </c>
      <c r="D51" s="4" t="inlineStr">
        <is>
          <t>中</t>
        </is>
      </c>
      <c r="E51" s="4" t="inlineStr">
        <is>
          <t>张明旭</t>
        </is>
      </c>
      <c r="F51" s="5" t="inlineStr">
        <is>
          <t>2026/5/22</t>
        </is>
      </c>
      <c r="G51" s="4" t="inlineStr">
        <is>
          <t>进行中</t>
        </is>
      </c>
      <c r="H51" s="5" t="inlineStr"/>
      <c r="I51" s="3" t="inlineStr">
        <is>
          <t>原表已有</t>
        </is>
      </c>
    </row>
    <row r="52" ht="22" customHeight="1">
      <c r="A52" s="6" t="n"/>
      <c r="B52" s="6" t="n"/>
      <c r="C52" s="3" t="inlineStr">
        <is>
          <t>跳一跳</t>
        </is>
      </c>
      <c r="D52" s="4" t="inlineStr">
        <is>
          <t>中</t>
        </is>
      </c>
      <c r="E52" s="4" t="inlineStr">
        <is>
          <t>张明旭</t>
        </is>
      </c>
      <c r="F52" s="5" t="inlineStr">
        <is>
          <t>2026/5/22</t>
        </is>
      </c>
      <c r="G52" s="4" t="inlineStr">
        <is>
          <t>进行中</t>
        </is>
      </c>
      <c r="H52" s="5" t="inlineStr"/>
      <c r="I52" s="3" t="inlineStr">
        <is>
          <t>原表已有</t>
        </is>
      </c>
    </row>
    <row r="53" ht="22" customHeight="1">
      <c r="A53" s="6" t="n"/>
      <c r="B53" s="6" t="n"/>
      <c r="C53" s="3" t="inlineStr">
        <is>
          <t>赛车（跑酷）</t>
        </is>
      </c>
      <c r="D53" s="4" t="inlineStr">
        <is>
          <t>中</t>
        </is>
      </c>
      <c r="E53" s="4" t="inlineStr">
        <is>
          <t>张明旭</t>
        </is>
      </c>
      <c r="F53" s="5" t="inlineStr"/>
      <c r="G53" s="4" t="inlineStr">
        <is>
          <t>进行中</t>
        </is>
      </c>
      <c r="H53" s="5" t="inlineStr"/>
      <c r="I53" s="3" t="inlineStr">
        <is>
          <t>2026/6/15随游戏模块重构引入</t>
        </is>
      </c>
    </row>
    <row r="54" ht="22" customHeight="1">
      <c r="A54" s="6" t="n"/>
      <c r="B54" s="6" t="n"/>
      <c r="C54" s="3" t="inlineStr">
        <is>
          <t>游戏图片资源导出（c/jt/ds/p系列）</t>
        </is>
      </c>
      <c r="D54" s="4" t="inlineStr">
        <is>
          <t>中</t>
        </is>
      </c>
      <c r="E54" s="4" t="inlineStr">
        <is>
          <t>张明旭</t>
        </is>
      </c>
      <c r="F54" s="5" t="inlineStr"/>
      <c r="G54" s="4" t="inlineStr">
        <is>
          <t>已完成</t>
        </is>
      </c>
      <c r="H54" s="5" t="inlineStr">
        <is>
          <t>2026/7/2</t>
        </is>
      </c>
      <c r="I54" s="3" t="inlineStr">
        <is>
          <t>补录</t>
        </is>
      </c>
    </row>
    <row r="55" ht="22" customHeight="1">
      <c r="A55" s="6" t="n"/>
      <c r="B55" s="6" t="n"/>
      <c r="C55" s="3" t="inlineStr">
        <is>
          <t>跳一跳蓄力/落台坐标统一</t>
        </is>
      </c>
      <c r="D55" s="4" t="inlineStr">
        <is>
          <t>高</t>
        </is>
      </c>
      <c r="E55" s="4" t="inlineStr">
        <is>
          <t>张明旭</t>
        </is>
      </c>
      <c r="F55" s="5" t="inlineStr"/>
      <c r="G55" s="4" t="inlineStr">
        <is>
          <t>已完成</t>
        </is>
      </c>
      <c r="H55" s="5" t="inlineStr">
        <is>
          <t>2026/6/17</t>
        </is>
      </c>
      <c r="I55" s="3" t="inlineStr">
        <is>
          <t>补录·BUG-022</t>
        </is>
      </c>
    </row>
    <row r="56" ht="22" customHeight="1">
      <c r="A56" s="6" t="n"/>
      <c r="B56" s="6" t="n"/>
      <c r="C56" s="3" t="inlineStr">
        <is>
          <t>打地鼠命中判定修复（只允许HOLE_UP命中）</t>
        </is>
      </c>
      <c r="D56" s="4" t="inlineStr">
        <is>
          <t>中</t>
        </is>
      </c>
      <c r="E56" s="4" t="inlineStr">
        <is>
          <t>张明旭</t>
        </is>
      </c>
      <c r="F56" s="5" t="inlineStr"/>
      <c r="G56" s="4" t="inlineStr">
        <is>
          <t>进行中</t>
        </is>
      </c>
      <c r="H56" s="5" t="inlineStr"/>
      <c r="I56" s="3" t="inlineStr">
        <is>
          <t>game_whack.c:581 已改待烧录</t>
        </is>
      </c>
    </row>
    <row r="57" ht="22" customHeight="1">
      <c r="A57" s="6" t="n"/>
      <c r="B57" s="6" t="n"/>
      <c r="C57" s="3" t="inlineStr">
        <is>
          <t>跳一跳边缘检测（覆盖率&lt;60%倒下）</t>
        </is>
      </c>
      <c r="D57" s="4" t="inlineStr">
        <is>
          <t>中</t>
        </is>
      </c>
      <c r="E57" s="4" t="inlineStr">
        <is>
          <t>张明旭</t>
        </is>
      </c>
      <c r="F57" s="5" t="inlineStr"/>
      <c r="G57" s="4" t="inlineStr">
        <is>
          <t>未开始</t>
        </is>
      </c>
      <c r="H57" s="5" t="inlineStr"/>
      <c r="I57" s="3" t="inlineStr">
        <is>
          <t>方案已设计，插入点game_jump.c:1070</t>
        </is>
      </c>
    </row>
    <row r="58" ht="22" customHeight="1">
      <c r="A58" s="6" t="n"/>
      <c r="B58" s="6" t="n"/>
      <c r="C58" s="3" t="inlineStr">
        <is>
          <t>跳一跳入场动画（台子下落+触底弹起）</t>
        </is>
      </c>
      <c r="D58" s="4" t="inlineStr">
        <is>
          <t>低</t>
        </is>
      </c>
      <c r="E58" s="4" t="inlineStr">
        <is>
          <t>张明旭</t>
        </is>
      </c>
      <c r="F58" s="5" t="inlineStr"/>
      <c r="G58" s="4" t="inlineStr">
        <is>
          <t>未开始</t>
        </is>
      </c>
      <c r="H58" s="5" t="inlineStr"/>
      <c r="I58" s="3" t="inlineStr">
        <is>
          <t>方案已设计，代码未改</t>
        </is>
      </c>
    </row>
    <row r="59" ht="22" customHeight="1">
      <c r="A59" s="6" t="n"/>
      <c r="B59" s="7" t="n"/>
      <c r="C59" s="3" t="inlineStr">
        <is>
          <t>赛车棋子缩放/车道位置调参</t>
        </is>
      </c>
      <c r="D59" s="4" t="inlineStr">
        <is>
          <t>低</t>
        </is>
      </c>
      <c r="E59" s="4" t="inlineStr">
        <is>
          <t>张明旭</t>
        </is>
      </c>
      <c r="F59" s="5" t="inlineStr"/>
      <c r="G59" s="4" t="inlineStr">
        <is>
          <t>进行中</t>
        </is>
      </c>
      <c r="H59" s="5" t="inlineStr"/>
      <c r="I59" s="3" t="inlineStr">
        <is>
          <t>未编译未烧录</t>
        </is>
      </c>
    </row>
    <row r="60" ht="22" customHeight="1">
      <c r="A60" s="6" t="n"/>
      <c r="B60" s="2" t="inlineStr">
        <is>
          <t>交互模块</t>
        </is>
      </c>
      <c r="C60" s="3" t="inlineStr">
        <is>
          <t>触摸驱动（TP223外置+内置电容双方案）</t>
        </is>
      </c>
      <c r="D60" s="4" t="inlineStr">
        <is>
          <t>高</t>
        </is>
      </c>
      <c r="E60" s="4" t="inlineStr">
        <is>
          <t>张明旭</t>
        </is>
      </c>
      <c r="F60" s="5" t="inlineStr"/>
      <c r="G60" s="4" t="inlineStr">
        <is>
          <t>已完成</t>
        </is>
      </c>
      <c r="H60" s="5" t="inlineStr">
        <is>
          <t>2026/5/25</t>
        </is>
      </c>
      <c r="I60" s="3" t="inlineStr">
        <is>
          <t>补录</t>
        </is>
      </c>
    </row>
    <row r="61" ht="22" customHeight="1">
      <c r="A61" s="6" t="n"/>
      <c r="B61" s="6" t="n"/>
      <c r="C61" s="3" t="inlineStr">
        <is>
          <t>舵机驱动（LEDC PWM）</t>
        </is>
      </c>
      <c r="D61" s="4" t="inlineStr">
        <is>
          <t>高</t>
        </is>
      </c>
      <c r="E61" s="4" t="inlineStr">
        <is>
          <t>张明旭</t>
        </is>
      </c>
      <c r="F61" s="5" t="inlineStr"/>
      <c r="G61" s="4" t="inlineStr">
        <is>
          <t>已完成</t>
        </is>
      </c>
      <c r="H61" s="5" t="inlineStr">
        <is>
          <t>2026/4/14</t>
        </is>
      </c>
      <c r="I61" s="3" t="inlineStr">
        <is>
          <t>补录</t>
        </is>
      </c>
    </row>
    <row r="62" ht="22" customHeight="1">
      <c r="A62" s="6" t="n"/>
      <c r="B62" s="6" t="n"/>
      <c r="C62" s="3" t="inlineStr">
        <is>
          <t>舵机管理器（队列+worker任务）</t>
        </is>
      </c>
      <c r="D62" s="4" t="inlineStr">
        <is>
          <t>高</t>
        </is>
      </c>
      <c r="E62" s="4" t="inlineStr">
        <is>
          <t>张明旭</t>
        </is>
      </c>
      <c r="F62" s="5" t="inlineStr"/>
      <c r="G62" s="4" t="inlineStr">
        <is>
          <t>已完成</t>
        </is>
      </c>
      <c r="H62" s="5" t="inlineStr">
        <is>
          <t>2026/4/15</t>
        </is>
      </c>
      <c r="I62" s="3" t="inlineStr">
        <is>
          <t>补录</t>
        </is>
      </c>
    </row>
    <row r="63" ht="22" customHeight="1">
      <c r="A63" s="6" t="n"/>
      <c r="B63" s="6" t="n"/>
      <c r="C63" s="3" t="inlineStr">
        <is>
          <t>舵机独立组件化（components/servo）</t>
        </is>
      </c>
      <c r="D63" s="4" t="inlineStr">
        <is>
          <t>中</t>
        </is>
      </c>
      <c r="E63" s="4" t="inlineStr">
        <is>
          <t>张明旭</t>
        </is>
      </c>
      <c r="F63" s="5" t="inlineStr"/>
      <c r="G63" s="4" t="inlineStr">
        <is>
          <t>已完成</t>
        </is>
      </c>
      <c r="H63" s="5" t="inlineStr">
        <is>
          <t>2026/7/15</t>
        </is>
      </c>
      <c r="I63" s="3" t="inlineStr">
        <is>
          <t>补录</t>
        </is>
      </c>
    </row>
    <row r="64" ht="22" customHeight="1">
      <c r="A64" s="6" t="n"/>
      <c r="B64" s="6" t="n"/>
      <c r="C64" s="3" t="inlineStr">
        <is>
          <t>PCA9536 IO扩展驱动</t>
        </is>
      </c>
      <c r="D64" s="4" t="inlineStr">
        <is>
          <t>中</t>
        </is>
      </c>
      <c r="E64" s="4" t="inlineStr">
        <is>
          <t>张明旭</t>
        </is>
      </c>
      <c r="F64" s="5" t="inlineStr"/>
      <c r="G64" s="4" t="inlineStr">
        <is>
          <t>已完成</t>
        </is>
      </c>
      <c r="H64" s="5" t="inlineStr">
        <is>
          <t>2026/5/14</t>
        </is>
      </c>
      <c r="I64" s="3" t="inlineStr">
        <is>
          <t>补录</t>
        </is>
      </c>
    </row>
    <row r="65" ht="22" customHeight="1">
      <c r="A65" s="6" t="n"/>
      <c r="B65" s="6" t="n"/>
      <c r="C65" s="3" t="inlineStr">
        <is>
          <t>GPIO14复用冲突修复（I2C NACK+舵机误抖）</t>
        </is>
      </c>
      <c r="D65" s="4" t="inlineStr">
        <is>
          <t>高</t>
        </is>
      </c>
      <c r="E65" s="4" t="inlineStr">
        <is>
          <t>张明旭</t>
        </is>
      </c>
      <c r="F65" s="5" t="inlineStr"/>
      <c r="G65" s="4" t="inlineStr">
        <is>
          <t>已完成</t>
        </is>
      </c>
      <c r="H65" s="5" t="inlineStr">
        <is>
          <t>2026/5/14</t>
        </is>
      </c>
      <c r="I65" s="3" t="inlineStr">
        <is>
          <t>补录·BUG-015</t>
        </is>
      </c>
    </row>
    <row r="66" ht="22" customHeight="1">
      <c r="A66" s="6" t="n"/>
      <c r="B66" s="6" t="n"/>
      <c r="C66" s="3" t="inlineStr">
        <is>
          <t>震动马达PWM驱动</t>
        </is>
      </c>
      <c r="D66" s="4" t="inlineStr">
        <is>
          <t>中</t>
        </is>
      </c>
      <c r="E66" s="4" t="inlineStr">
        <is>
          <t>张明旭</t>
        </is>
      </c>
      <c r="F66" s="5" t="inlineStr"/>
      <c r="G66" s="4" t="inlineStr">
        <is>
          <t>已完成</t>
        </is>
      </c>
      <c r="H66" s="5" t="inlineStr">
        <is>
          <t>2026/7/2</t>
        </is>
      </c>
      <c r="I66" s="3" t="inlineStr">
        <is>
          <t>补录·BUG-020 低有效需duty=MAX停止</t>
        </is>
      </c>
    </row>
    <row r="67" ht="22" customHeight="1">
      <c r="A67" s="6" t="n"/>
      <c r="B67" s="6" t="n"/>
      <c r="C67" s="3" t="inlineStr">
        <is>
          <t>情绪矩阵（6触摸位置×6情绪→GIF+舵机+震动+音频）</t>
        </is>
      </c>
      <c r="D67" s="4" t="inlineStr">
        <is>
          <t>高</t>
        </is>
      </c>
      <c r="E67" s="4" t="inlineStr">
        <is>
          <t>张明旭</t>
        </is>
      </c>
      <c r="F67" s="5" t="inlineStr"/>
      <c r="G67" s="4" t="inlineStr">
        <is>
          <t>进行中</t>
        </is>
      </c>
      <c r="H67" s="5" t="inlineStr"/>
      <c r="I67" s="3" t="inlineStr">
        <is>
          <t>10种震动序列已落地，待烧录验证</t>
        </is>
      </c>
    </row>
    <row r="68" ht="22" customHeight="1">
      <c r="A68" s="6" t="n"/>
      <c r="B68" s="7" t="n"/>
      <c r="C68" s="3" t="inlineStr">
        <is>
          <t>舵机上电归中抖动</t>
        </is>
      </c>
      <c r="D68" s="4" t="inlineStr">
        <is>
          <t>高</t>
        </is>
      </c>
      <c r="E68" s="4" t="inlineStr">
        <is>
          <t>张明旭</t>
        </is>
      </c>
      <c r="F68" s="5" t="inlineStr"/>
      <c r="G68" s="4" t="inlineStr">
        <is>
          <t>未开始</t>
        </is>
      </c>
      <c r="H68" s="5" t="inlineStr"/>
      <c r="I68" s="3" t="inlineStr">
        <is>
          <t>单脉冲实验证明软件无解，需换总线舵机</t>
        </is>
      </c>
    </row>
    <row r="69" ht="22" customHeight="1">
      <c r="A69" s="6" t="n"/>
      <c r="B69" s="2" t="inlineStr">
        <is>
          <t>电源与低功耗</t>
        </is>
      </c>
      <c r="C69" s="3" t="inlineStr">
        <is>
          <t>电池电量采集+NVS持久化+防回弹</t>
        </is>
      </c>
      <c r="D69" s="4" t="inlineStr">
        <is>
          <t>中</t>
        </is>
      </c>
      <c r="E69" s="4" t="inlineStr">
        <is>
          <t>张明旭</t>
        </is>
      </c>
      <c r="F69" s="5" t="inlineStr"/>
      <c r="G69" s="4" t="inlineStr">
        <is>
          <t>已完成</t>
        </is>
      </c>
      <c r="H69" s="5" t="inlineStr">
        <is>
          <t>2026/6/2</t>
        </is>
      </c>
      <c r="I69" s="3" t="inlineStr">
        <is>
          <t>补录</t>
        </is>
      </c>
    </row>
    <row r="70" ht="22" customHeight="1">
      <c r="A70" s="6" t="n"/>
      <c r="B70" s="6" t="n"/>
      <c r="C70" s="3" t="inlineStr">
        <is>
          <t>一级待机（息屏降频）</t>
        </is>
      </c>
      <c r="D70" s="4" t="inlineStr">
        <is>
          <t>中</t>
        </is>
      </c>
      <c r="E70" s="4" t="inlineStr">
        <is>
          <t>张明旭</t>
        </is>
      </c>
      <c r="F70" s="5" t="inlineStr"/>
      <c r="G70" s="4" t="inlineStr">
        <is>
          <t>已完成</t>
        </is>
      </c>
      <c r="H70" s="5" t="inlineStr">
        <is>
          <t>2026/7/9</t>
        </is>
      </c>
      <c r="I70" s="3" t="inlineStr">
        <is>
          <t>补录</t>
        </is>
      </c>
    </row>
    <row r="71" ht="22" customHeight="1">
      <c r="A71" s="6" t="n"/>
      <c r="B71" s="6" t="n"/>
      <c r="C71" s="3" t="inlineStr">
        <is>
          <t>二级待机（关屏+停舵机）</t>
        </is>
      </c>
      <c r="D71" s="4" t="inlineStr">
        <is>
          <t>中</t>
        </is>
      </c>
      <c r="E71" s="4" t="inlineStr">
        <is>
          <t>张明旭</t>
        </is>
      </c>
      <c r="F71" s="5" t="inlineStr"/>
      <c r="G71" s="4" t="inlineStr">
        <is>
          <t>已完成</t>
        </is>
      </c>
      <c r="H71" s="5" t="inlineStr">
        <is>
          <t>2026/7/2</t>
        </is>
      </c>
      <c r="I71" s="3" t="inlineStr">
        <is>
          <t>补录</t>
        </is>
      </c>
    </row>
    <row r="72" ht="22" customHeight="1">
      <c r="A72" s="6" t="n"/>
      <c r="B72" s="6" t="n"/>
      <c r="C72" s="3" t="inlineStr">
        <is>
          <t>三级关机（GPIO18/OPT下降沿断电）</t>
        </is>
      </c>
      <c r="D72" s="4" t="inlineStr">
        <is>
          <t>中</t>
        </is>
      </c>
      <c r="E72" s="4" t="inlineStr">
        <is>
          <t>张明旭</t>
        </is>
      </c>
      <c r="F72" s="5" t="inlineStr"/>
      <c r="G72" s="4" t="inlineStr">
        <is>
          <t>已完成</t>
        </is>
      </c>
      <c r="H72" s="5" t="inlineStr">
        <is>
          <t>2026/7/2</t>
        </is>
      </c>
      <c r="I72" s="3" t="inlineStr">
        <is>
          <t>补录</t>
        </is>
      </c>
    </row>
    <row r="73" ht="22" customHeight="1">
      <c r="A73" s="6" t="n"/>
      <c r="B73" s="6" t="n"/>
      <c r="C73" s="3" t="inlineStr">
        <is>
          <t>待机期插拔USB检测唤醒</t>
        </is>
      </c>
      <c r="D73" s="4" t="inlineStr">
        <is>
          <t>中</t>
        </is>
      </c>
      <c r="E73" s="4" t="inlineStr">
        <is>
          <t>张明旭</t>
        </is>
      </c>
      <c r="F73" s="5" t="inlineStr"/>
      <c r="G73" s="4" t="inlineStr">
        <is>
          <t>已完成</t>
        </is>
      </c>
      <c r="H73" s="5" t="inlineStr">
        <is>
          <t>2026/7/9</t>
        </is>
      </c>
      <c r="I73" s="3" t="inlineStr">
        <is>
          <t>补录</t>
        </is>
      </c>
    </row>
    <row r="74" ht="22" customHeight="1">
      <c r="A74" s="6" t="n"/>
      <c r="B74" s="7" t="n"/>
      <c r="C74" s="3" t="inlineStr">
        <is>
          <t>一级低功耗随机情绪头部动作+GIF轮播</t>
        </is>
      </c>
      <c r="D74" s="4" t="inlineStr">
        <is>
          <t>低</t>
        </is>
      </c>
      <c r="E74" s="4" t="inlineStr">
        <is>
          <t>张明旭</t>
        </is>
      </c>
      <c r="F74" s="5" t="inlineStr"/>
      <c r="G74" s="4" t="inlineStr">
        <is>
          <t>未开始</t>
        </is>
      </c>
      <c r="H74" s="5" t="inlineStr"/>
      <c r="I74" s="3" t="inlineStr">
        <is>
          <t>计划2026-07-03已设计未编码</t>
        </is>
      </c>
    </row>
    <row r="75" ht="22" customHeight="1">
      <c r="A75" s="6" t="n"/>
      <c r="B75" s="2" t="inlineStr">
        <is>
          <t>存储与资源</t>
        </is>
      </c>
      <c r="C75" s="3" t="inlineStr">
        <is>
          <t>外挂Flash驱动+零延迟启动</t>
        </is>
      </c>
      <c r="D75" s="4" t="inlineStr">
        <is>
          <t>高</t>
        </is>
      </c>
      <c r="E75" s="4" t="inlineStr">
        <is>
          <t>张明旭</t>
        </is>
      </c>
      <c r="F75" s="5" t="inlineStr"/>
      <c r="G75" s="4" t="inlineStr">
        <is>
          <t>已完成</t>
        </is>
      </c>
      <c r="H75" s="5" t="inlineStr">
        <is>
          <t>2026/6/2</t>
        </is>
      </c>
      <c r="I75" s="3" t="inlineStr">
        <is>
          <t>补录</t>
        </is>
      </c>
    </row>
    <row r="76" ht="22" customHeight="1">
      <c r="A76" s="6" t="n"/>
      <c r="B76" s="6" t="n"/>
      <c r="C76" s="3" t="inlineStr">
        <is>
          <t>外部Flash烧录/镜像提取工具</t>
        </is>
      </c>
      <c r="D76" s="4" t="inlineStr">
        <is>
          <t>高</t>
        </is>
      </c>
      <c r="E76" s="4" t="inlineStr">
        <is>
          <t>张明旭</t>
        </is>
      </c>
      <c r="F76" s="5" t="inlineStr"/>
      <c r="G76" s="4" t="inlineStr">
        <is>
          <t>已完成</t>
        </is>
      </c>
      <c r="H76" s="5" t="inlineStr">
        <is>
          <t>2026/5/12</t>
        </is>
      </c>
      <c r="I76" s="3" t="inlineStr">
        <is>
          <t>补录</t>
        </is>
      </c>
    </row>
    <row r="77" ht="22" customHeight="1">
      <c r="A77" s="6" t="n"/>
      <c r="B77" s="6" t="n"/>
      <c r="C77" s="3" t="inlineStr">
        <is>
          <t>图片转换→打包→烧录一键脚本（0~3.py）</t>
        </is>
      </c>
      <c r="D77" s="4" t="inlineStr">
        <is>
          <t>高</t>
        </is>
      </c>
      <c r="E77" s="4" t="inlineStr">
        <is>
          <t>张明旭</t>
        </is>
      </c>
      <c r="F77" s="5" t="inlineStr"/>
      <c r="G77" s="4" t="inlineStr">
        <is>
          <t>已完成</t>
        </is>
      </c>
      <c r="H77" s="5" t="inlineStr">
        <is>
          <t>2026/6/12</t>
        </is>
      </c>
      <c r="I77" s="3" t="inlineStr">
        <is>
          <t>补录</t>
        </is>
      </c>
    </row>
    <row r="78" ht="22" customHeight="1">
      <c r="A78" s="6" t="n"/>
      <c r="B78" s="6" t="n"/>
      <c r="C78" s="3" t="inlineStr">
        <is>
          <t>已烧录板重烧强制窗口（BURN_FORCE_WINDOW_MS）</t>
        </is>
      </c>
      <c r="D78" s="4" t="inlineStr">
        <is>
          <t>中</t>
        </is>
      </c>
      <c r="E78" s="4" t="inlineStr">
        <is>
          <t>张明旭</t>
        </is>
      </c>
      <c r="F78" s="5" t="inlineStr"/>
      <c r="G78" s="4" t="inlineStr">
        <is>
          <t>已完成</t>
        </is>
      </c>
      <c r="H78" s="5" t="inlineStr">
        <is>
          <t>2026/6/25</t>
        </is>
      </c>
      <c r="I78" s="3" t="inlineStr">
        <is>
          <t>补录·BUG-024</t>
        </is>
      </c>
    </row>
    <row r="79" ht="22" customHeight="1">
      <c r="A79" s="6" t="n"/>
      <c r="B79" s="6" t="n"/>
      <c r="C79" s="3" t="inlineStr">
        <is>
          <t>语音资源目录规划（/S/voice/）</t>
        </is>
      </c>
      <c r="D79" s="4" t="inlineStr">
        <is>
          <t>中</t>
        </is>
      </c>
      <c r="E79" s="4" t="inlineStr">
        <is>
          <t>张明旭</t>
        </is>
      </c>
      <c r="F79" s="5" t="inlineStr"/>
      <c r="G79" s="4" t="inlineStr">
        <is>
          <t>已完成</t>
        </is>
      </c>
      <c r="H79" s="5" t="inlineStr">
        <is>
          <t>2026/7/16</t>
        </is>
      </c>
      <c r="I79" s="3" t="inlineStr">
        <is>
          <t>补录</t>
        </is>
      </c>
    </row>
    <row r="80" ht="22" customHeight="1">
      <c r="A80" s="6" t="n"/>
      <c r="B80" s="7" t="n"/>
      <c r="C80" s="3" t="inlineStr">
        <is>
          <t>外挂Flash容量自适应（读JEDEC ID）</t>
        </is>
      </c>
      <c r="D80" s="4" t="inlineStr">
        <is>
          <t>中</t>
        </is>
      </c>
      <c r="E80" s="4" t="inlineStr">
        <is>
          <t>张明旭</t>
        </is>
      </c>
      <c r="F80" s="5" t="inlineStr"/>
      <c r="G80" s="4" t="inlineStr">
        <is>
          <t>未开始</t>
        </is>
      </c>
      <c r="H80" s="5" t="inlineStr"/>
      <c r="I80" s="3" t="inlineStr">
        <is>
          <t>现写死32MB，16MB板须手工传参</t>
        </is>
      </c>
    </row>
    <row r="81" ht="22" customHeight="1">
      <c r="A81" s="6" t="n"/>
      <c r="B81" s="2" t="inlineStr">
        <is>
          <t>稳定性与内存</t>
        </is>
      </c>
      <c r="C81" s="3" t="inlineStr">
        <is>
          <t>内部SRAM峰值优化（22KB→170KB）</t>
        </is>
      </c>
      <c r="D81" s="4" t="inlineStr">
        <is>
          <t>高</t>
        </is>
      </c>
      <c r="E81" s="4" t="inlineStr">
        <is>
          <t>张明旭</t>
        </is>
      </c>
      <c r="F81" s="5" t="inlineStr"/>
      <c r="G81" s="4" t="inlineStr">
        <is>
          <t>已完成</t>
        </is>
      </c>
      <c r="H81" s="5" t="inlineStr">
        <is>
          <t>2026/5/12</t>
        </is>
      </c>
      <c r="I81" s="3" t="inlineStr">
        <is>
          <t>补录·7任务栈+3静态buffer迁SPIRAM</t>
        </is>
      </c>
    </row>
    <row r="82" ht="22" customHeight="1">
      <c r="A82" s="6" t="n"/>
      <c r="B82" s="6" t="n"/>
      <c r="C82" s="3" t="inlineStr">
        <is>
          <t>LVGL 64KB静态池移除</t>
        </is>
      </c>
      <c r="D82" s="4" t="inlineStr">
        <is>
          <t>高</t>
        </is>
      </c>
      <c r="E82" s="4" t="inlineStr">
        <is>
          <t>张明旭</t>
        </is>
      </c>
      <c r="F82" s="5" t="inlineStr"/>
      <c r="G82" s="4" t="inlineStr">
        <is>
          <t>已完成</t>
        </is>
      </c>
      <c r="H82" s="5" t="inlineStr">
        <is>
          <t>2026/4/26</t>
        </is>
      </c>
      <c r="I82" s="3" t="inlineStr">
        <is>
          <t>补录·BUG-009</t>
        </is>
      </c>
    </row>
    <row r="83" ht="22" customHeight="1">
      <c r="A83" s="6" t="n"/>
      <c r="B83" s="6" t="n"/>
      <c r="C83" s="3" t="inlineStr">
        <is>
          <t>音频任务SPIRAM栈泄漏防护</t>
        </is>
      </c>
      <c r="D83" s="4" t="inlineStr">
        <is>
          <t>高</t>
        </is>
      </c>
      <c r="E83" s="4" t="inlineStr">
        <is>
          <t>张明旭</t>
        </is>
      </c>
      <c r="F83" s="5" t="inlineStr"/>
      <c r="G83" s="4" t="inlineStr">
        <is>
          <t>已完成</t>
        </is>
      </c>
      <c r="H83" s="5" t="inlineStr">
        <is>
          <t>2026/5/6</t>
        </is>
      </c>
      <c r="I83" s="3" t="inlineStr">
        <is>
          <t>补录·BUG-011</t>
        </is>
      </c>
    </row>
    <row r="84" ht="22" customHeight="1">
      <c r="A84" s="6" t="n"/>
      <c r="B84" s="6" t="n"/>
      <c r="C84" s="3" t="inlineStr">
        <is>
          <t>WebSocket重连内存泄漏修复</t>
        </is>
      </c>
      <c r="D84" s="4" t="inlineStr">
        <is>
          <t>高</t>
        </is>
      </c>
      <c r="E84" s="4" t="inlineStr">
        <is>
          <t>张明旭</t>
        </is>
      </c>
      <c r="F84" s="5" t="inlineStr"/>
      <c r="G84" s="4" t="inlineStr">
        <is>
          <t>已完成</t>
        </is>
      </c>
      <c r="H84" s="5" t="inlineStr">
        <is>
          <t>2026/5/12</t>
        </is>
      </c>
      <c r="I84" s="3" t="inlineStr">
        <is>
          <t>补录</t>
        </is>
      </c>
    </row>
    <row r="85" ht="22" customHeight="1">
      <c r="A85" s="6" t="n"/>
      <c r="B85" s="6" t="n"/>
      <c r="C85" s="3" t="inlineStr">
        <is>
          <t>MQTT重连任务内存泄漏修复</t>
        </is>
      </c>
      <c r="D85" s="4" t="inlineStr">
        <is>
          <t>高</t>
        </is>
      </c>
      <c r="E85" s="4" t="inlineStr">
        <is>
          <t>张明旭</t>
        </is>
      </c>
      <c r="F85" s="5" t="inlineStr"/>
      <c r="G85" s="4" t="inlineStr">
        <is>
          <t>已完成</t>
        </is>
      </c>
      <c r="H85" s="5" t="inlineStr">
        <is>
          <t>2026/6/15</t>
        </is>
      </c>
      <c r="I85" s="3" t="inlineStr">
        <is>
          <t>补录·BUG-023</t>
        </is>
      </c>
    </row>
    <row r="86" ht="22" customHeight="1">
      <c r="A86" s="6" t="n"/>
      <c r="B86" s="6" t="n"/>
      <c r="C86" s="3" t="inlineStr">
        <is>
          <t>云端解绑崩溃修复（栈3072→8192）</t>
        </is>
      </c>
      <c r="D86" s="4" t="inlineStr">
        <is>
          <t>高</t>
        </is>
      </c>
      <c r="E86" s="4" t="inlineStr">
        <is>
          <t>张明旭</t>
        </is>
      </c>
      <c r="F86" s="5" t="inlineStr"/>
      <c r="G86" s="4" t="inlineStr">
        <is>
          <t>已完成</t>
        </is>
      </c>
      <c r="H86" s="5" t="inlineStr">
        <is>
          <t>2026/7/21</t>
        </is>
      </c>
      <c r="I86" s="3" t="inlineStr">
        <is>
          <t>补录·BUG-028</t>
        </is>
      </c>
    </row>
    <row r="87" ht="22" customHeight="1">
      <c r="A87" s="6" t="n"/>
      <c r="B87" s="6" t="n"/>
      <c r="C87" s="3" t="inlineStr">
        <is>
          <t>任务栈监控+内存跟踪宏</t>
        </is>
      </c>
      <c r="D87" s="4" t="inlineStr">
        <is>
          <t>中</t>
        </is>
      </c>
      <c r="E87" s="4" t="inlineStr">
        <is>
          <t>张明旭</t>
        </is>
      </c>
      <c r="F87" s="5" t="inlineStr"/>
      <c r="G87" s="4" t="inlineStr">
        <is>
          <t>已完成</t>
        </is>
      </c>
      <c r="H87" s="5" t="inlineStr">
        <is>
          <t>2026/7/10</t>
        </is>
      </c>
      <c r="I87" s="3" t="inlineStr">
        <is>
          <t>补录</t>
        </is>
      </c>
    </row>
    <row r="88" ht="22" customHeight="1">
      <c r="A88" s="6" t="n"/>
      <c r="B88" s="6" t="n"/>
      <c r="C88" s="3" t="inlineStr">
        <is>
          <t>UDP日志通道（udp_logger）</t>
        </is>
      </c>
      <c r="D88" s="4" t="inlineStr">
        <is>
          <t>低</t>
        </is>
      </c>
      <c r="E88" s="4" t="inlineStr">
        <is>
          <t>张明旭</t>
        </is>
      </c>
      <c r="F88" s="5" t="inlineStr"/>
      <c r="G88" s="4" t="inlineStr">
        <is>
          <t>已完成</t>
        </is>
      </c>
      <c r="H88" s="5" t="inlineStr">
        <is>
          <t>2026/7/10</t>
        </is>
      </c>
      <c r="I88" s="3" t="inlineStr">
        <is>
          <t>补录</t>
        </is>
      </c>
    </row>
    <row r="89" ht="22" customHeight="1">
      <c r="A89" s="6" t="n"/>
      <c r="B89" s="6" t="n"/>
      <c r="C89" s="3" t="inlineStr">
        <is>
          <t>CPU0优先级倒挂致WDT报警</t>
        </is>
      </c>
      <c r="D89" s="4" t="inlineStr">
        <is>
          <t>高</t>
        </is>
      </c>
      <c r="E89" s="4" t="inlineStr">
        <is>
          <t>张明旭</t>
        </is>
      </c>
      <c r="F89" s="5" t="inlineStr"/>
      <c r="G89" s="4" t="inlineStr">
        <is>
          <t>进行中</t>
        </is>
      </c>
      <c r="H89" s="5" t="inlineStr"/>
      <c r="I89" s="3" t="inlineStr">
        <is>
          <t>BUG-027 修改已写未提交未烧录</t>
        </is>
      </c>
    </row>
    <row r="90" ht="22" customHeight="1">
      <c r="A90" s="6" t="n"/>
      <c r="B90" s="7" t="n"/>
      <c r="C90" s="3" t="inlineStr">
        <is>
          <t>随机堆损坏排查（堆毒化检测）</t>
        </is>
      </c>
      <c r="D90" s="4" t="inlineStr">
        <is>
          <t>中</t>
        </is>
      </c>
      <c r="E90" s="4" t="inlineStr">
        <is>
          <t>张明旭</t>
        </is>
      </c>
      <c r="F90" s="5" t="inlineStr"/>
      <c r="G90" s="4" t="inlineStr">
        <is>
          <t>进行中</t>
        </is>
      </c>
      <c r="H90" s="5" t="inlineStr"/>
      <c r="I90" s="3" t="inlineStr">
        <is>
          <t>已排除与WDT关联，仍在观察</t>
        </is>
      </c>
    </row>
    <row r="91" ht="22" customHeight="1">
      <c r="A91" s="7" t="n"/>
      <c r="B91" s="2" t="inlineStr">
        <is>
          <t>离线能力</t>
        </is>
      </c>
      <c r="C91" s="3" t="inlineStr">
        <is>
          <t>断网离线模式（不重启+停重连+时间NVS兜底）</t>
        </is>
      </c>
      <c r="D91" s="4" t="inlineStr">
        <is>
          <t>中</t>
        </is>
      </c>
      <c r="E91" s="4" t="inlineStr">
        <is>
          <t>张明旭</t>
        </is>
      </c>
      <c r="F91" s="5" t="inlineStr"/>
      <c r="G91" s="4" t="inlineStr">
        <is>
          <t>未开始</t>
        </is>
      </c>
      <c r="H91" s="5" t="inlineStr"/>
      <c r="I91" s="3" t="inlineStr">
        <is>
          <t>计划2026-07-21已设计未编码</t>
        </is>
      </c>
    </row>
    <row r="92" ht="22" customHeight="1">
      <c r="A92" s="2" t="inlineStr">
        <is>
          <t>云端对接</t>
        </is>
      </c>
      <c r="B92" s="2" t="inlineStr">
        <is>
          <t>协议</t>
        </is>
      </c>
      <c r="C92" s="3" t="inlineStr">
        <is>
          <t>MQTT命令主题订阅（音量/解绑/OTA推送）</t>
        </is>
      </c>
      <c r="D92" s="4" t="inlineStr">
        <is>
          <t>高</t>
        </is>
      </c>
      <c r="E92" s="4" t="inlineStr">
        <is>
          <t>张明旭</t>
        </is>
      </c>
      <c r="F92" s="5" t="inlineStr"/>
      <c r="G92" s="4" t="inlineStr">
        <is>
          <t>已完成</t>
        </is>
      </c>
      <c r="H92" s="5" t="inlineStr">
        <is>
          <t>2026/5/18</t>
        </is>
      </c>
      <c r="I92" s="3" t="inlineStr">
        <is>
          <t>补录</t>
        </is>
      </c>
    </row>
    <row r="93" ht="22" customHeight="1">
      <c r="A93" s="6" t="n"/>
      <c r="B93" s="6" t="n"/>
      <c r="C93" s="3" t="inlineStr">
        <is>
          <t>握手协议 Hello → start</t>
        </is>
      </c>
      <c r="D93" s="4" t="inlineStr">
        <is>
          <t>高</t>
        </is>
      </c>
      <c r="E93" s="4" t="inlineStr">
        <is>
          <t>张明旭</t>
        </is>
      </c>
      <c r="F93" s="5" t="inlineStr"/>
      <c r="G93" s="4" t="inlineStr">
        <is>
          <t>已完成</t>
        </is>
      </c>
      <c r="H93" s="5" t="inlineStr">
        <is>
          <t>2026/5/12</t>
        </is>
      </c>
      <c r="I93" s="3" t="inlineStr">
        <is>
          <t>补录</t>
        </is>
      </c>
    </row>
    <row r="94" ht="22" customHeight="1">
      <c r="A94" s="6" t="n"/>
      <c r="B94" s="6" t="n"/>
      <c r="C94" s="3" t="inlineStr">
        <is>
          <t>和风天气now接口对接</t>
        </is>
      </c>
      <c r="D94" s="4" t="inlineStr">
        <is>
          <t>中</t>
        </is>
      </c>
      <c r="E94" s="4" t="inlineStr">
        <is>
          <t>张明旭</t>
        </is>
      </c>
      <c r="F94" s="5" t="inlineStr"/>
      <c r="G94" s="4" t="inlineStr">
        <is>
          <t>已完成</t>
        </is>
      </c>
      <c r="H94" s="5" t="inlineStr">
        <is>
          <t>2026/5/6</t>
        </is>
      </c>
      <c r="I94" s="3" t="inlineStr">
        <is>
          <t>补录·12字段现用7个</t>
        </is>
      </c>
    </row>
    <row r="95" ht="22" customHeight="1">
      <c r="A95" s="7" t="n"/>
      <c r="B95" s="7" t="n"/>
      <c r="C95" s="3" t="inlineStr">
        <is>
          <t>云端过度切句致多轮LLM+RATE_LIMITED</t>
        </is>
      </c>
      <c r="D95" s="4" t="inlineStr">
        <is>
          <t>高</t>
        </is>
      </c>
      <c r="E95" s="4" t="inlineStr"/>
      <c r="F95" s="5" t="inlineStr"/>
      <c r="G95" s="4" t="inlineStr">
        <is>
          <t>未开始</t>
        </is>
      </c>
      <c r="H95" s="5" t="inlineStr"/>
      <c r="I95" s="3" t="inlineStr">
        <is>
          <t>纯排查未改码，需后端配合</t>
        </is>
      </c>
    </row>
  </sheetData>
  <mergeCells count="12">
    <mergeCell ref="B36:B50"/>
    <mergeCell ref="B60:B68"/>
    <mergeCell ref="B75:B80"/>
    <mergeCell ref="B18:B30"/>
    <mergeCell ref="B51:B59"/>
    <mergeCell ref="B69:B74"/>
    <mergeCell ref="B81:B90"/>
    <mergeCell ref="B92:B95"/>
    <mergeCell ref="A92:A95"/>
    <mergeCell ref="A2:A91"/>
    <mergeCell ref="B31:B35"/>
    <mergeCell ref="B2:B17"/>
  </mergeCells>
  <conditionalFormatting sqref="G2:G95">
    <cfRule type="expression" priority="1" dxfId="0" stopIfTrue="0">
      <formula>$G2="已完成"</formula>
    </cfRule>
    <cfRule type="expression" priority="2" dxfId="1" stopIfTrue="0">
      <formula>$G2="进行中"</formula>
    </cfRule>
    <cfRule type="expression" priority="3" dxfId="2" stopIfTrue="0">
      <formula>$G2="未开始"</formula>
    </cfRule>
  </conditionalFormatting>
  <conditionalFormatting sqref="C2:C95">
    <cfRule type="expression" priority="4" dxfId="3" stopIfTrue="0">
      <formula>AND($D2="高",$G2&lt;&gt;"已完成")</formula>
    </cfRule>
  </conditionalFormatting>
  <dataValidations count="2">
    <dataValidation sqref="G2:G95" showDropDown="0" showInputMessage="0" showErrorMessage="0" allowBlank="1" error="只能填 已完成 / 进行中 / 未开始" type="list">
      <formula1>"已完成,进行中,未开始"</formula1>
    </dataValidation>
    <dataValidation sqref="D2:D95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Echo2 项目任务总览</t>
        </is>
      </c>
    </row>
    <row r="2">
      <c r="A2" s="9" t="inlineStr">
        <is>
          <t>生成日期 2026-07-23　数据来源：git 提交记录 + memory 日志 + 现有代码</t>
        </is>
      </c>
    </row>
    <row r="4">
      <c r="A4" s="10" t="inlineStr">
        <is>
          <t>状态</t>
        </is>
      </c>
      <c r="B4" s="10" t="inlineStr">
        <is>
          <t>条数</t>
        </is>
      </c>
      <c r="C4" s="10" t="inlineStr">
        <is>
          <t>占比</t>
        </is>
      </c>
    </row>
    <row r="5">
      <c r="A5" s="11" t="inlineStr">
        <is>
          <t>已完成</t>
        </is>
      </c>
      <c r="B5">
        <f>COUNTIF(任务清单!$G$2:$G$95,A5)</f>
        <v/>
      </c>
      <c r="C5" s="12">
        <f>IF($B$8=0,0,B5/$B$8)</f>
        <v/>
      </c>
    </row>
    <row r="6">
      <c r="A6" s="13" t="inlineStr">
        <is>
          <t>进行中</t>
        </is>
      </c>
      <c r="B6">
        <f>COUNTIF(任务清单!$G$2:$G$95,A6)</f>
        <v/>
      </c>
      <c r="C6" s="12">
        <f>IF($B$8=0,0,B6/$B$8)</f>
        <v/>
      </c>
    </row>
    <row r="7">
      <c r="A7" s="14" t="inlineStr">
        <is>
          <t>未开始</t>
        </is>
      </c>
      <c r="B7">
        <f>COUNTIF(任务清单!$G$2:$G$95,A7)</f>
        <v/>
      </c>
      <c r="C7" s="12">
        <f>IF($B$8=0,0,B7/$B$8)</f>
        <v/>
      </c>
    </row>
    <row r="8">
      <c r="A8" s="15" t="inlineStr">
        <is>
          <t>合计</t>
        </is>
      </c>
      <c r="B8">
        <f>COUNTA(任务清单!$G$2:$G$95)</f>
        <v/>
      </c>
      <c r="C8" s="12" t="n">
        <v>1</v>
      </c>
    </row>
    <row r="10">
      <c r="A10" s="10" t="inlineStr">
        <is>
          <t>子模块</t>
        </is>
      </c>
      <c r="B10" s="10" t="inlineStr">
        <is>
          <t>已完成</t>
        </is>
      </c>
      <c r="C10" s="10" t="inlineStr">
        <is>
          <t>进行中</t>
        </is>
      </c>
      <c r="D10" s="10" t="inlineStr">
        <is>
          <t>未开始</t>
        </is>
      </c>
      <c r="E10" s="10" t="inlineStr">
        <is>
          <t>小计</t>
        </is>
      </c>
    </row>
    <row r="11">
      <c r="A11" s="16" t="inlineStr">
        <is>
          <t>音频模块</t>
        </is>
      </c>
      <c r="B11">
        <f>COUNTIFS(任务清单!$B$2:$B$95,$A11,任务清单!$G$2:$G$95,"已完成")</f>
        <v/>
      </c>
      <c r="C11">
        <f>COUNTIFS(任务清单!$B$2:$B$95,$A11,任务清单!$G$2:$G$95,"进行中")</f>
        <v/>
      </c>
      <c r="D11">
        <f>COUNTIFS(任务清单!$B$2:$B$95,$A11,任务清单!$G$2:$G$95,"未开始")</f>
        <v/>
      </c>
      <c r="E11">
        <f>COUNTIF(任务清单!$B$2:$B$95,$A11)</f>
        <v/>
      </c>
    </row>
    <row r="12">
      <c r="A12" s="16" t="inlineStr">
        <is>
          <t>初始化</t>
        </is>
      </c>
      <c r="B12">
        <f>COUNTIFS(任务清单!$B$2:$B$95,$A12,任务清单!$G$2:$G$95,"已完成")</f>
        <v/>
      </c>
      <c r="C12">
        <f>COUNTIFS(任务清单!$B$2:$B$95,$A12,任务清单!$G$2:$G$95,"进行中")</f>
        <v/>
      </c>
      <c r="D12">
        <f>COUNTIFS(任务清单!$B$2:$B$95,$A12,任务清单!$G$2:$G$95,"未开始")</f>
        <v/>
      </c>
      <c r="E12">
        <f>COUNTIF(任务清单!$B$2:$B$95,$A12)</f>
        <v/>
      </c>
    </row>
    <row r="13">
      <c r="A13" s="16" t="inlineStr">
        <is>
          <t>备份升级</t>
        </is>
      </c>
      <c r="B13">
        <f>COUNTIFS(任务清单!$B$2:$B$95,$A13,任务清单!$G$2:$G$95,"已完成")</f>
        <v/>
      </c>
      <c r="C13">
        <f>COUNTIFS(任务清单!$B$2:$B$95,$A13,任务清单!$G$2:$G$95,"进行中")</f>
        <v/>
      </c>
      <c r="D13">
        <f>COUNTIFS(任务清单!$B$2:$B$95,$A13,任务清单!$G$2:$G$95,"未开始")</f>
        <v/>
      </c>
      <c r="E13">
        <f>COUNTIF(任务清单!$B$2:$B$95,$A13)</f>
        <v/>
      </c>
    </row>
    <row r="14">
      <c r="A14" s="16" t="inlineStr">
        <is>
          <t>屏幕模块</t>
        </is>
      </c>
      <c r="B14">
        <f>COUNTIFS(任务清单!$B$2:$B$95,$A14,任务清单!$G$2:$G$95,"已完成")</f>
        <v/>
      </c>
      <c r="C14">
        <f>COUNTIFS(任务清单!$B$2:$B$95,$A14,任务清单!$G$2:$G$95,"进行中")</f>
        <v/>
      </c>
      <c r="D14">
        <f>COUNTIFS(任务清单!$B$2:$B$95,$A14,任务清单!$G$2:$G$95,"未开始")</f>
        <v/>
      </c>
      <c r="E14">
        <f>COUNTIF(任务清单!$B$2:$B$95,$A14)</f>
        <v/>
      </c>
    </row>
    <row r="15">
      <c r="A15" s="16" t="inlineStr">
        <is>
          <t>游戏模块</t>
        </is>
      </c>
      <c r="B15">
        <f>COUNTIFS(任务清单!$B$2:$B$95,$A15,任务清单!$G$2:$G$95,"已完成")</f>
        <v/>
      </c>
      <c r="C15">
        <f>COUNTIFS(任务清单!$B$2:$B$95,$A15,任务清单!$G$2:$G$95,"进行中")</f>
        <v/>
      </c>
      <c r="D15">
        <f>COUNTIFS(任务清单!$B$2:$B$95,$A15,任务清单!$G$2:$G$95,"未开始")</f>
        <v/>
      </c>
      <c r="E15">
        <f>COUNTIF(任务清单!$B$2:$B$95,$A15)</f>
        <v/>
      </c>
    </row>
    <row r="16">
      <c r="A16" s="16" t="inlineStr">
        <is>
          <t>交互模块</t>
        </is>
      </c>
      <c r="B16">
        <f>COUNTIFS(任务清单!$B$2:$B$95,$A16,任务清单!$G$2:$G$95,"已完成")</f>
        <v/>
      </c>
      <c r="C16">
        <f>COUNTIFS(任务清单!$B$2:$B$95,$A16,任务清单!$G$2:$G$95,"进行中")</f>
        <v/>
      </c>
      <c r="D16">
        <f>COUNTIFS(任务清单!$B$2:$B$95,$A16,任务清单!$G$2:$G$95,"未开始")</f>
        <v/>
      </c>
      <c r="E16">
        <f>COUNTIF(任务清单!$B$2:$B$95,$A16)</f>
        <v/>
      </c>
    </row>
    <row r="17">
      <c r="A17" s="16" t="inlineStr">
        <is>
          <t>电源与低功耗</t>
        </is>
      </c>
      <c r="B17">
        <f>COUNTIFS(任务清单!$B$2:$B$95,$A17,任务清单!$G$2:$G$95,"已完成")</f>
        <v/>
      </c>
      <c r="C17">
        <f>COUNTIFS(任务清单!$B$2:$B$95,$A17,任务清单!$G$2:$G$95,"进行中")</f>
        <v/>
      </c>
      <c r="D17">
        <f>COUNTIFS(任务清单!$B$2:$B$95,$A17,任务清单!$G$2:$G$95,"未开始")</f>
        <v/>
      </c>
      <c r="E17">
        <f>COUNTIF(任务清单!$B$2:$B$95,$A17)</f>
        <v/>
      </c>
    </row>
    <row r="18">
      <c r="A18" s="16" t="inlineStr">
        <is>
          <t>存储与资源</t>
        </is>
      </c>
      <c r="B18">
        <f>COUNTIFS(任务清单!$B$2:$B$95,$A18,任务清单!$G$2:$G$95,"已完成")</f>
        <v/>
      </c>
      <c r="C18">
        <f>COUNTIFS(任务清单!$B$2:$B$95,$A18,任务清单!$G$2:$G$95,"进行中")</f>
        <v/>
      </c>
      <c r="D18">
        <f>COUNTIFS(任务清单!$B$2:$B$95,$A18,任务清单!$G$2:$G$95,"未开始")</f>
        <v/>
      </c>
      <c r="E18">
        <f>COUNTIF(任务清单!$B$2:$B$95,$A18)</f>
        <v/>
      </c>
    </row>
    <row r="19">
      <c r="A19" s="16" t="inlineStr">
        <is>
          <t>稳定性与内存</t>
        </is>
      </c>
      <c r="B19">
        <f>COUNTIFS(任务清单!$B$2:$B$95,$A19,任务清单!$G$2:$G$95,"已完成")</f>
        <v/>
      </c>
      <c r="C19">
        <f>COUNTIFS(任务清单!$B$2:$B$95,$A19,任务清单!$G$2:$G$95,"进行中")</f>
        <v/>
      </c>
      <c r="D19">
        <f>COUNTIFS(任务清单!$B$2:$B$95,$A19,任务清单!$G$2:$G$95,"未开始")</f>
        <v/>
      </c>
      <c r="E19">
        <f>COUNTIF(任务清单!$B$2:$B$95,$A19)</f>
        <v/>
      </c>
    </row>
    <row r="20">
      <c r="A20" s="16" t="inlineStr">
        <is>
          <t>离线能力</t>
        </is>
      </c>
      <c r="B20">
        <f>COUNTIFS(任务清单!$B$2:$B$95,$A20,任务清单!$G$2:$G$95,"已完成")</f>
        <v/>
      </c>
      <c r="C20">
        <f>COUNTIFS(任务清单!$B$2:$B$95,$A20,任务清单!$G$2:$G$95,"进行中")</f>
        <v/>
      </c>
      <c r="D20">
        <f>COUNTIFS(任务清单!$B$2:$B$95,$A20,任务清单!$G$2:$G$95,"未开始")</f>
        <v/>
      </c>
      <c r="E20">
        <f>COUNTIF(任务清单!$B$2:$B$95,$A20)</f>
        <v/>
      </c>
    </row>
    <row r="21">
      <c r="A21" s="16" t="inlineStr">
        <is>
          <t>协议</t>
        </is>
      </c>
      <c r="B21">
        <f>COUNTIFS(任务清单!$B$2:$B$95,$A21,任务清单!$G$2:$G$95,"已完成")</f>
        <v/>
      </c>
      <c r="C21">
        <f>COUNTIFS(任务清单!$B$2:$B$95,$A21,任务清单!$G$2:$G$95,"进行中")</f>
        <v/>
      </c>
      <c r="D21">
        <f>COUNTIFS(任务清单!$B$2:$B$95,$A21,任务清单!$G$2:$G$95,"未开始")</f>
        <v/>
      </c>
      <c r="E21">
        <f>COUNTIF(任务清单!$B$2:$B$95,$A21)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2026-07-23T10:17:52Z</dcterms:created>
  <dcterms:modified xsi:type="dcterms:W3CDTF">2026-07-23T10:17:52Z</dcterms:modified>
</cp:coreProperties>
</file>